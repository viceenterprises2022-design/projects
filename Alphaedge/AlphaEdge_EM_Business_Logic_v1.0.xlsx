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01 — Market Parameters" sheetId="2" state="visible" r:id="rId4"/>
    <sheet name="02 — Correlation Matrix" sheetId="3" state="visible" r:id="rId5"/>
    <sheet name="03 — Risk &amp; Macro Scores" sheetId="4" state="visible" r:id="rId6"/>
    <sheet name="04 — Crisis Predictor" sheetId="5" state="visible" r:id="rId7"/>
    <sheet name="05 — Lead-Lag Engine" sheetId="6" state="visible" r:id="rId8"/>
    <sheet name="06 — Transmission Models" sheetId="7" state="visible" r:id="rId9"/>
    <sheet name="07 — Market Drivers" sheetId="8" state="visible" r:id="rId10"/>
    <sheet name="08 — Pricing Tiers" sheetId="9" state="visible" r:id="rId11"/>
    <sheet name="09 — Scenario Analysis" sheetId="10" state="visible" r:id="rId12"/>
    <sheet name="10 — Summary 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<sst xmlns="http://schemas.openxmlformats.org/spreadsheetml/2006/main" count="1664" uniqueCount="866">
  <si>
    <t xml:space="preserve">ALPHAEDGE — GLOBAL EMERGING MARKETS INTELLIGENCE</t>
  </si>
  <si>
    <t xml:space="preserve">Business Logic &amp; Parameter Reference Export  |  February 2026</t>
  </si>
  <si>
    <t xml:space="preserve">PURPOSE</t>
  </si>
  <si>
    <t xml:space="preserve">This workbook exports all business logic, market parameters, correlation coefficients,</t>
  </si>
  <si>
    <t xml:space="preserve">risk scores, macro drivers, crisis prediction signals, and lead-lag relationships</t>
  </si>
  <si>
    <t xml:space="preserve">from the AlphaEdge Global Correlation Engine platform.</t>
  </si>
  <si>
    <t xml:space="preserve">SHEETS IN THIS WORKBOOK</t>
  </si>
  <si>
    <t xml:space="preserve">  01 — Market Parameters  —  All 45 EM markets: index, FX, macro, tier, mktcap</t>
  </si>
  <si>
    <t xml:space="preserve">  02 — Correlation Matrix  —  5 correlation coefficients per market (SPX, Oil, USD, Gold, China)</t>
  </si>
  <si>
    <t xml:space="preserve">  03 — Risk &amp; Macro Scores  —  Risk score, GDP, CPI, rates, current account, debt/GDP</t>
  </si>
  <si>
    <t xml:space="preserve">  04 — Crisis Predictor  —  5-signal early-warning system weights, thresholds, accuracy</t>
  </si>
  <si>
    <t xml:space="preserve">  05 — Lead-Lag Engine  —  Research-backed lead-lag relationships with lag days &amp; strength</t>
  </si>
  <si>
    <t xml:space="preserve">  06 — Transmission Models  —  US→India, Oil→India, China→India macro transmission chains</t>
  </si>
  <si>
    <t xml:space="preserve">  07 — Market Drivers  —  Key growth drivers and key risks per market</t>
  </si>
  <si>
    <t xml:space="preserve">  08 — Pricing Tiers  —  Platform subscription tiers, features, and revenue targets</t>
  </si>
  <si>
    <t xml:space="preserve">  09 — Scenario Analysis  —  Fed hike / Oil spike / China stimulus — portfolio impact models</t>
  </si>
  <si>
    <t xml:space="preserve">  10 — Summary Dashboard  —  Cross-sheet KPI summary with live formulas</t>
  </si>
  <si>
    <t xml:space="preserve">COLOUR CODING CONVENTIONS</t>
  </si>
  <si>
    <t xml:space="preserve">  Blue text:  Hardcoded inputs — change for scenario analysis</t>
  </si>
  <si>
    <t xml:space="preserve">  Black text:  Formulas — auto-calculated</t>
  </si>
  <si>
    <t xml:space="preserve">  Green text:  Positive values / good signals</t>
  </si>
  <si>
    <t xml:space="preserve">  Red text:  Negative values / risk signals</t>
  </si>
  <si>
    <t xml:space="preserve">  Amber text:  Headers and key labels</t>
  </si>
  <si>
    <t xml:space="preserve">SOURCE: AlphaEdge Platform — Synthesised from Claude (Anthropic) + Gemini (Google) + GPT-4 (OpenAI)</t>
  </si>
  <si>
    <t xml:space="preserve">CLASSIFICATION: Internal Use — Share with development and product teams</t>
  </si>
  <si>
    <t xml:space="preserve">ALPHAEDGE — MARKET PARAMETERS (45 EMERGING MARKETS)</t>
  </si>
  <si>
    <t xml:space="preserve">Region</t>
  </si>
  <si>
    <t xml:space="preserve">ID</t>
  </si>
  <si>
    <t xml:space="preserve">Country</t>
  </si>
  <si>
    <t xml:space="preserve">Flag</t>
  </si>
  <si>
    <t xml:space="preserve">Index</t>
  </si>
  <si>
    <t xml:space="preserve">Index Value</t>
  </si>
  <si>
    <t xml:space="preserve">Currency</t>
  </si>
  <si>
    <t xml:space="preserve">FX Rate (per USD)</t>
  </si>
  <si>
    <t xml:space="preserve">FX 1D Change %</t>
  </si>
  <si>
    <t xml:space="preserve">Market Tier</t>
  </si>
  <si>
    <t xml:space="preserve">Market Cap</t>
  </si>
  <si>
    <t xml:space="preserve">South Asia</t>
  </si>
  <si>
    <t xml:space="preserve">IN</t>
  </si>
  <si>
    <t xml:space="preserve">🇮🇳 India</t>
  </si>
  <si>
    <t xml:space="preserve">🇮🇳</t>
  </si>
  <si>
    <t xml:space="preserve">NIFTY 50</t>
  </si>
  <si>
    <t xml:space="preserve">21345</t>
  </si>
  <si>
    <t xml:space="preserve">INR</t>
  </si>
  <si>
    <t xml:space="preserve">83.42</t>
  </si>
  <si>
    <t xml:space="preserve">Frontier-Plus</t>
  </si>
  <si>
    <t xml:space="preserve">$3.9T</t>
  </si>
  <si>
    <t xml:space="preserve">PK</t>
  </si>
  <si>
    <t xml:space="preserve">🇵🇰 Pakistan</t>
  </si>
  <si>
    <t xml:space="preserve">🇵🇰</t>
  </si>
  <si>
    <t xml:space="preserve">KSE-100</t>
  </si>
  <si>
    <t xml:space="preserve">62410</t>
  </si>
  <si>
    <t xml:space="preserve">PKR</t>
  </si>
  <si>
    <t xml:space="preserve">278.5</t>
  </si>
  <si>
    <t xml:space="preserve">Frontier</t>
  </si>
  <si>
    <t xml:space="preserve">$52B</t>
  </si>
  <si>
    <t xml:space="preserve">BD</t>
  </si>
  <si>
    <t xml:space="preserve">🇧🇩 Bangladesh</t>
  </si>
  <si>
    <t xml:space="preserve">🇧🇩</t>
  </si>
  <si>
    <t xml:space="preserve">DSEX</t>
  </si>
  <si>
    <t xml:space="preserve">6245</t>
  </si>
  <si>
    <t xml:space="preserve">BDT</t>
  </si>
  <si>
    <t xml:space="preserve">110.2</t>
  </si>
  <si>
    <t xml:space="preserve">$48B</t>
  </si>
  <si>
    <t xml:space="preserve">LK</t>
  </si>
  <si>
    <t xml:space="preserve">🇱🇰 Sri Lanka</t>
  </si>
  <si>
    <t xml:space="preserve">🇱🇰</t>
  </si>
  <si>
    <t xml:space="preserve">CSE All</t>
  </si>
  <si>
    <t xml:space="preserve">8912</t>
  </si>
  <si>
    <t xml:space="preserve">LKR</t>
  </si>
  <si>
    <t xml:space="preserve">318.4</t>
  </si>
  <si>
    <t xml:space="preserve">$7B</t>
  </si>
  <si>
    <t xml:space="preserve">Southeast Asia</t>
  </si>
  <si>
    <t xml:space="preserve">🇮🇩 Indonesia</t>
  </si>
  <si>
    <t xml:space="preserve">🇮🇩</t>
  </si>
  <si>
    <t xml:space="preserve">IDX Comp</t>
  </si>
  <si>
    <t xml:space="preserve">7282</t>
  </si>
  <si>
    <t xml:space="preserve">IDR</t>
  </si>
  <si>
    <t xml:space="preserve">15820</t>
  </si>
  <si>
    <t xml:space="preserve">Emerging</t>
  </si>
  <si>
    <t xml:space="preserve">$678B</t>
  </si>
  <si>
    <t xml:space="preserve">MY</t>
  </si>
  <si>
    <t xml:space="preserve">🇲🇾 Malaysia</t>
  </si>
  <si>
    <t xml:space="preserve">🇲🇾</t>
  </si>
  <si>
    <t xml:space="preserve">KLCI</t>
  </si>
  <si>
    <t xml:space="preserve">1524</t>
  </si>
  <si>
    <t xml:space="preserve">MYR</t>
  </si>
  <si>
    <t xml:space="preserve">4.74</t>
  </si>
  <si>
    <t xml:space="preserve">$384B</t>
  </si>
  <si>
    <t xml:space="preserve">TH</t>
  </si>
  <si>
    <t xml:space="preserve">🇹🇭 Thailand</t>
  </si>
  <si>
    <t xml:space="preserve">🇹🇭</t>
  </si>
  <si>
    <t xml:space="preserve">SET</t>
  </si>
  <si>
    <t xml:space="preserve">1415</t>
  </si>
  <si>
    <t xml:space="preserve">THB</t>
  </si>
  <si>
    <t xml:space="preserve">35.2</t>
  </si>
  <si>
    <t xml:space="preserve">$488B</t>
  </si>
  <si>
    <t xml:space="preserve">PH</t>
  </si>
  <si>
    <t xml:space="preserve">🇵🇭 Philippines</t>
  </si>
  <si>
    <t xml:space="preserve">🇵🇭</t>
  </si>
  <si>
    <t xml:space="preserve">PSEi</t>
  </si>
  <si>
    <t xml:space="preserve">6892</t>
  </si>
  <si>
    <t xml:space="preserve">PHP</t>
  </si>
  <si>
    <t xml:space="preserve">57.8</t>
  </si>
  <si>
    <t xml:space="preserve">$218B</t>
  </si>
  <si>
    <t xml:space="preserve">VN</t>
  </si>
  <si>
    <t xml:space="preserve">🇻🇳 Vietnam</t>
  </si>
  <si>
    <t xml:space="preserve">🇻🇳</t>
  </si>
  <si>
    <t xml:space="preserve">VN-Index</t>
  </si>
  <si>
    <t xml:space="preserve">1248</t>
  </si>
  <si>
    <t xml:space="preserve">VND</t>
  </si>
  <si>
    <t xml:space="preserve">25420</t>
  </si>
  <si>
    <t xml:space="preserve">$182B</t>
  </si>
  <si>
    <t xml:space="preserve">SG</t>
  </si>
  <si>
    <t xml:space="preserve">🇸🇬 Singapore</t>
  </si>
  <si>
    <t xml:space="preserve">🇸🇬</t>
  </si>
  <si>
    <t xml:space="preserve">STI</t>
  </si>
  <si>
    <t xml:space="preserve">3248</t>
  </si>
  <si>
    <t xml:space="preserve">SGD</t>
  </si>
  <si>
    <t xml:space="preserve">1.345</t>
  </si>
  <si>
    <t xml:space="preserve">Developed-EM</t>
  </si>
  <si>
    <t xml:space="preserve">$421B</t>
  </si>
  <si>
    <t xml:space="preserve">East Asia</t>
  </si>
  <si>
    <t xml:space="preserve">CN</t>
  </si>
  <si>
    <t xml:space="preserve">🇨🇳 China</t>
  </si>
  <si>
    <t xml:space="preserve">🇨🇳</t>
  </si>
  <si>
    <t xml:space="preserve">CSI 300</t>
  </si>
  <si>
    <t xml:space="preserve">3412</t>
  </si>
  <si>
    <t xml:space="preserve">CNY</t>
  </si>
  <si>
    <t xml:space="preserve">7.234</t>
  </si>
  <si>
    <t xml:space="preserve">$9.4T</t>
  </si>
  <si>
    <t xml:space="preserve">KR</t>
  </si>
  <si>
    <t xml:space="preserve">🇰🇷 South Korea</t>
  </si>
  <si>
    <t xml:space="preserve">🇰🇷</t>
  </si>
  <si>
    <t xml:space="preserve">KOSPI</t>
  </si>
  <si>
    <t xml:space="preserve">2584</t>
  </si>
  <si>
    <t xml:space="preserve">KRW</t>
  </si>
  <si>
    <t xml:space="preserve">1328</t>
  </si>
  <si>
    <t xml:space="preserve">$1.6T</t>
  </si>
  <si>
    <t xml:space="preserve">TW</t>
  </si>
  <si>
    <t xml:space="preserve">🇹🇼 Taiwan</t>
  </si>
  <si>
    <t xml:space="preserve">🇹🇼</t>
  </si>
  <si>
    <t xml:space="preserve">TAIEX</t>
  </si>
  <si>
    <t xml:space="preserve">19842</t>
  </si>
  <si>
    <t xml:space="preserve">TWD</t>
  </si>
  <si>
    <t xml:space="preserve">31.8</t>
  </si>
  <si>
    <t xml:space="preserve">$1.9T</t>
  </si>
  <si>
    <t xml:space="preserve">HK</t>
  </si>
  <si>
    <t xml:space="preserve">🇭🇰 Hong Kong</t>
  </si>
  <si>
    <t xml:space="preserve">🇭🇰</t>
  </si>
  <si>
    <t xml:space="preserve">Hang Seng</t>
  </si>
  <si>
    <t xml:space="preserve">16284</t>
  </si>
  <si>
    <t xml:space="preserve">HKD</t>
  </si>
  <si>
    <t xml:space="preserve">7.822</t>
  </si>
  <si>
    <t xml:space="preserve">$3.1T</t>
  </si>
  <si>
    <t xml:space="preserve">Latin America</t>
  </si>
  <si>
    <t xml:space="preserve">BR</t>
  </si>
  <si>
    <t xml:space="preserve">🇧🇷 Brazil</t>
  </si>
  <si>
    <t xml:space="preserve">🇧🇷</t>
  </si>
  <si>
    <t xml:space="preserve">Bovespa</t>
  </si>
  <si>
    <t xml:space="preserve">125840</t>
  </si>
  <si>
    <t xml:space="preserve">BRL</t>
  </si>
  <si>
    <t xml:space="preserve">4.97</t>
  </si>
  <si>
    <t xml:space="preserve">$841B</t>
  </si>
  <si>
    <t xml:space="preserve">MX</t>
  </si>
  <si>
    <t xml:space="preserve">🇲🇽 Mexico</t>
  </si>
  <si>
    <t xml:space="preserve">🇲🇽</t>
  </si>
  <si>
    <t xml:space="preserve">IPC BMV</t>
  </si>
  <si>
    <t xml:space="preserve">54218</t>
  </si>
  <si>
    <t xml:space="preserve">MXN</t>
  </si>
  <si>
    <t xml:space="preserve">17.12</t>
  </si>
  <si>
    <t xml:space="preserve">CL</t>
  </si>
  <si>
    <t xml:space="preserve">🇨🇱 Chile</t>
  </si>
  <si>
    <t xml:space="preserve">🇨🇱</t>
  </si>
  <si>
    <t xml:space="preserve">IPSA</t>
  </si>
  <si>
    <t xml:space="preserve">6284</t>
  </si>
  <si>
    <t xml:space="preserve">CLP</t>
  </si>
  <si>
    <t xml:space="preserve">952</t>
  </si>
  <si>
    <t xml:space="preserve">$124B</t>
  </si>
  <si>
    <t xml:space="preserve">CO</t>
  </si>
  <si>
    <t xml:space="preserve">🇨🇴 Colombia</t>
  </si>
  <si>
    <t xml:space="preserve">🇨🇴</t>
  </si>
  <si>
    <t xml:space="preserve">COLCAP</t>
  </si>
  <si>
    <t xml:space="preserve">COP</t>
  </si>
  <si>
    <t xml:space="preserve">3940</t>
  </si>
  <si>
    <t xml:space="preserve">$56B</t>
  </si>
  <si>
    <t xml:space="preserve">PE</t>
  </si>
  <si>
    <t xml:space="preserve">🇵🇪 Peru</t>
  </si>
  <si>
    <t xml:space="preserve">🇵🇪</t>
  </si>
  <si>
    <t xml:space="preserve">S&amp;P/BVL</t>
  </si>
  <si>
    <t xml:space="preserve">12841</t>
  </si>
  <si>
    <t xml:space="preserve">PEN</t>
  </si>
  <si>
    <t xml:space="preserve">3.78</t>
  </si>
  <si>
    <t xml:space="preserve">$68B</t>
  </si>
  <si>
    <t xml:space="preserve">AR</t>
  </si>
  <si>
    <t xml:space="preserve">🇦🇷 Argentina</t>
  </si>
  <si>
    <t xml:space="preserve">🇦🇷</t>
  </si>
  <si>
    <t xml:space="preserve">Merval</t>
  </si>
  <si>
    <t xml:space="preserve">1482000</t>
  </si>
  <si>
    <t xml:space="preserve">ARS</t>
  </si>
  <si>
    <t xml:space="preserve">862</t>
  </si>
  <si>
    <t xml:space="preserve">$41B</t>
  </si>
  <si>
    <t xml:space="preserve">EMEA — Africa</t>
  </si>
  <si>
    <t xml:space="preserve">ZA</t>
  </si>
  <si>
    <t xml:space="preserve">🇿🇦 South Africa</t>
  </si>
  <si>
    <t xml:space="preserve">🇿🇦</t>
  </si>
  <si>
    <t xml:space="preserve">JSE All</t>
  </si>
  <si>
    <t xml:space="preserve">72418</t>
  </si>
  <si>
    <t xml:space="preserve">ZAR</t>
  </si>
  <si>
    <t xml:space="preserve">18.82</t>
  </si>
  <si>
    <t xml:space="preserve">$748B</t>
  </si>
  <si>
    <t xml:space="preserve">NG</t>
  </si>
  <si>
    <t xml:space="preserve">🇳🇬 Nigeria</t>
  </si>
  <si>
    <t xml:space="preserve">🇳🇬</t>
  </si>
  <si>
    <t xml:space="preserve">NGX All</t>
  </si>
  <si>
    <t xml:space="preserve">98412</t>
  </si>
  <si>
    <t xml:space="preserve">NGN</t>
  </si>
  <si>
    <t xml:space="preserve">1512</t>
  </si>
  <si>
    <t xml:space="preserve">$38B</t>
  </si>
  <si>
    <t xml:space="preserve">EG</t>
  </si>
  <si>
    <t xml:space="preserve">🇪🇬 Egypt</t>
  </si>
  <si>
    <t xml:space="preserve">🇪🇬</t>
  </si>
  <si>
    <t xml:space="preserve">EGX 30</t>
  </si>
  <si>
    <t xml:space="preserve">28412</t>
  </si>
  <si>
    <t xml:space="preserve">EGP</t>
  </si>
  <si>
    <t xml:space="preserve">48.2</t>
  </si>
  <si>
    <t xml:space="preserve">$44B</t>
  </si>
  <si>
    <t xml:space="preserve">KE</t>
  </si>
  <si>
    <t xml:space="preserve">🇰🇪 Kenya</t>
  </si>
  <si>
    <t xml:space="preserve">🇰🇪</t>
  </si>
  <si>
    <t xml:space="preserve">NSE 20</t>
  </si>
  <si>
    <t xml:space="preserve">1842</t>
  </si>
  <si>
    <t xml:space="preserve">KES</t>
  </si>
  <si>
    <t xml:space="preserve">128.4</t>
  </si>
  <si>
    <t xml:space="preserve">$12B</t>
  </si>
  <si>
    <t xml:space="preserve">GH</t>
  </si>
  <si>
    <t xml:space="preserve">🇬🇭 Ghana</t>
  </si>
  <si>
    <t xml:space="preserve">🇬🇭</t>
  </si>
  <si>
    <t xml:space="preserve">GSE Comp</t>
  </si>
  <si>
    <t xml:space="preserve">GHS</t>
  </si>
  <si>
    <t xml:space="preserve">12.8</t>
  </si>
  <si>
    <t xml:space="preserve">$5B</t>
  </si>
  <si>
    <t xml:space="preserve">MA</t>
  </si>
  <si>
    <t xml:space="preserve">🇲🇦 Morocco</t>
  </si>
  <si>
    <t xml:space="preserve">🇲🇦</t>
  </si>
  <si>
    <t xml:space="preserve">MASI</t>
  </si>
  <si>
    <t xml:space="preserve">MAD</t>
  </si>
  <si>
    <t xml:space="preserve">9.98</t>
  </si>
  <si>
    <t xml:space="preserve">$58B</t>
  </si>
  <si>
    <t xml:space="preserve">TZ</t>
  </si>
  <si>
    <t xml:space="preserve">🇹🇿 Tanzania</t>
  </si>
  <si>
    <t xml:space="preserve">🇹🇿</t>
  </si>
  <si>
    <t xml:space="preserve">DSE</t>
  </si>
  <si>
    <t xml:space="preserve">2184</t>
  </si>
  <si>
    <t xml:space="preserve">TZS</t>
  </si>
  <si>
    <t xml:space="preserve">2512</t>
  </si>
  <si>
    <t xml:space="preserve">$4B</t>
  </si>
  <si>
    <t xml:space="preserve">Middle East</t>
  </si>
  <si>
    <t xml:space="preserve">SA</t>
  </si>
  <si>
    <t xml:space="preserve">🇸🇦 Saudi Arabia</t>
  </si>
  <si>
    <t xml:space="preserve">🇸🇦</t>
  </si>
  <si>
    <t xml:space="preserve">Tadawul</t>
  </si>
  <si>
    <t xml:space="preserve">12284</t>
  </si>
  <si>
    <t xml:space="preserve">SAR</t>
  </si>
  <si>
    <t xml:space="preserve">3.750</t>
  </si>
  <si>
    <t xml:space="preserve">$2.9T</t>
  </si>
  <si>
    <t xml:space="preserve">AE</t>
  </si>
  <si>
    <t xml:space="preserve">🇦🇪 UAE</t>
  </si>
  <si>
    <t xml:space="preserve">🇦🇪</t>
  </si>
  <si>
    <t xml:space="preserve">DFM</t>
  </si>
  <si>
    <t xml:space="preserve">4182</t>
  </si>
  <si>
    <t xml:space="preserve">AED</t>
  </si>
  <si>
    <t xml:space="preserve">3.673</t>
  </si>
  <si>
    <t xml:space="preserve">$358B</t>
  </si>
  <si>
    <t xml:space="preserve">QA</t>
  </si>
  <si>
    <t xml:space="preserve">🇶🇦 Qatar</t>
  </si>
  <si>
    <t xml:space="preserve">🇶🇦</t>
  </si>
  <si>
    <t xml:space="preserve">QSE</t>
  </si>
  <si>
    <t xml:space="preserve">10284</t>
  </si>
  <si>
    <t xml:space="preserve">QAR</t>
  </si>
  <si>
    <t xml:space="preserve">3.641</t>
  </si>
  <si>
    <t xml:space="preserve">$152B</t>
  </si>
  <si>
    <t xml:space="preserve">TR</t>
  </si>
  <si>
    <t xml:space="preserve">🇹🇷 Turkey</t>
  </si>
  <si>
    <t xml:space="preserve">🇹🇷</t>
  </si>
  <si>
    <t xml:space="preserve">BIST 100</t>
  </si>
  <si>
    <t xml:space="preserve">8284000</t>
  </si>
  <si>
    <t xml:space="preserve">TRY</t>
  </si>
  <si>
    <t xml:space="preserve">32.4</t>
  </si>
  <si>
    <t xml:space="preserve">$142B</t>
  </si>
  <si>
    <t xml:space="preserve">IL</t>
  </si>
  <si>
    <t xml:space="preserve">🇮🇱 Israel</t>
  </si>
  <si>
    <t xml:space="preserve">🇮🇱</t>
  </si>
  <si>
    <t xml:space="preserve">TA-125</t>
  </si>
  <si>
    <t xml:space="preserve">1784</t>
  </si>
  <si>
    <t xml:space="preserve">ILS</t>
  </si>
  <si>
    <t xml:space="preserve">3.68</t>
  </si>
  <si>
    <t xml:space="preserve">KW</t>
  </si>
  <si>
    <t xml:space="preserve">🇰🇼 Kuwait</t>
  </si>
  <si>
    <t xml:space="preserve">🇰🇼</t>
  </si>
  <si>
    <t xml:space="preserve">Boursa KW</t>
  </si>
  <si>
    <t xml:space="preserve">7284</t>
  </si>
  <si>
    <t xml:space="preserve">KWD</t>
  </si>
  <si>
    <t xml:space="preserve">0.307</t>
  </si>
  <si>
    <t xml:space="preserve">$98B</t>
  </si>
  <si>
    <t xml:space="preserve">Emerging Europe</t>
  </si>
  <si>
    <t xml:space="preserve">PL</t>
  </si>
  <si>
    <t xml:space="preserve">🇵🇱 Poland</t>
  </si>
  <si>
    <t xml:space="preserve">🇵🇱</t>
  </si>
  <si>
    <t xml:space="preserve">WIG20</t>
  </si>
  <si>
    <t xml:space="preserve">2384</t>
  </si>
  <si>
    <t xml:space="preserve">PLN</t>
  </si>
  <si>
    <t xml:space="preserve">4.02</t>
  </si>
  <si>
    <t xml:space="preserve">CZ</t>
  </si>
  <si>
    <t xml:space="preserve">🇨🇿 Czech Rep.</t>
  </si>
  <si>
    <t xml:space="preserve">🇨🇿</t>
  </si>
  <si>
    <t xml:space="preserve">PX</t>
  </si>
  <si>
    <t xml:space="preserve">1484</t>
  </si>
  <si>
    <t xml:space="preserve">CZK</t>
  </si>
  <si>
    <t xml:space="preserve">22.8</t>
  </si>
  <si>
    <t xml:space="preserve">$42B</t>
  </si>
  <si>
    <t xml:space="preserve">HU</t>
  </si>
  <si>
    <t xml:space="preserve">🇭🇺 Hungary</t>
  </si>
  <si>
    <t xml:space="preserve">🇭🇺</t>
  </si>
  <si>
    <t xml:space="preserve">BUX</t>
  </si>
  <si>
    <t xml:space="preserve">58284</t>
  </si>
  <si>
    <t xml:space="preserve">HUF</t>
  </si>
  <si>
    <t xml:space="preserve">358</t>
  </si>
  <si>
    <t xml:space="preserve">$32B</t>
  </si>
  <si>
    <t xml:space="preserve">RO</t>
  </si>
  <si>
    <t xml:space="preserve">🇷🇴 Romania</t>
  </si>
  <si>
    <t xml:space="preserve">🇷🇴</t>
  </si>
  <si>
    <t xml:space="preserve">BET</t>
  </si>
  <si>
    <t xml:space="preserve">17284</t>
  </si>
  <si>
    <t xml:space="preserve">RON</t>
  </si>
  <si>
    <t xml:space="preserve">$28B</t>
  </si>
  <si>
    <t xml:space="preserve">GR</t>
  </si>
  <si>
    <t xml:space="preserve">🇬🇷 Greece</t>
  </si>
  <si>
    <t xml:space="preserve">🇬🇷</t>
  </si>
  <si>
    <t xml:space="preserve">Athens GE</t>
  </si>
  <si>
    <t xml:space="preserve">EUR</t>
  </si>
  <si>
    <t xml:space="preserve">1.085</t>
  </si>
  <si>
    <t xml:space="preserve">ALPHAEDGE — GLOBAL CORRELATION COEFFICIENTS (30-Day Rolling DCC-GARCH)</t>
  </si>
  <si>
    <t xml:space="preserve">vs S&amp;P 500</t>
  </si>
  <si>
    <t xml:space="preserve">vs Brent Oil</t>
  </si>
  <si>
    <t xml:space="preserve">vs USD Index</t>
  </si>
  <si>
    <t xml:space="preserve">vs Gold</t>
  </si>
  <si>
    <t xml:space="preserve">vs China PMI</t>
  </si>
  <si>
    <t xml:space="preserve">SPX Regime</t>
  </si>
  <si>
    <t xml:space="preserve">Oil Regime</t>
  </si>
  <si>
    <t xml:space="preserve">USD Regime</t>
  </si>
  <si>
    <t xml:space="preserve">Moderate Positive</t>
  </si>
  <si>
    <t xml:space="preserve">Strong Negative</t>
  </si>
  <si>
    <t xml:space="preserve">Weak Positive</t>
  </si>
  <si>
    <t xml:space="preserve">Weak Negative</t>
  </si>
  <si>
    <t xml:space="preserve">Strong Positive</t>
  </si>
  <si>
    <t xml:space="preserve">Uncorrelated</t>
  </si>
  <si>
    <t xml:space="preserve">ALPHAEDGE — RISK SCORES &amp; MACRO INDICATORS</t>
  </si>
  <si>
    <t xml:space="preserve">Risk Score (0-100)</t>
  </si>
  <si>
    <t xml:space="preserve">Risk Level</t>
  </si>
  <si>
    <t xml:space="preserve">GDP Growth %</t>
  </si>
  <si>
    <t xml:space="preserve">Inflation (CPI) %</t>
  </si>
  <si>
    <t xml:space="preserve">Interest Rate %</t>
  </si>
  <si>
    <t xml:space="preserve">Bond Yield (10Y) %</t>
  </si>
  <si>
    <t xml:space="preserve">Current Account % GDP</t>
  </si>
  <si>
    <t xml:space="preserve">Debt / GDP %</t>
  </si>
  <si>
    <t xml:space="preserve">Real Rate (Rate - CPI)</t>
  </si>
  <si>
    <t xml:space="preserve">MEDIUM</t>
  </si>
  <si>
    <t xml:space="preserve">CRITICAL</t>
  </si>
  <si>
    <t xml:space="preserve">LOW</t>
  </si>
  <si>
    <t xml:space="preserve">HIGH</t>
  </si>
  <si>
    <t xml:space="preserve">CRISIS CORRELATION PREDICTOR™ — 5-SIGNAL EARLY WARNING SYSTEM</t>
  </si>
  <si>
    <t xml:space="preserve">Patent Pending · Historical Accuracy: 73% · False Positive Rate: 27% · Average Lead Time: 5.2 days</t>
  </si>
  <si>
    <t xml:space="preserve">Signal Name</t>
  </si>
  <si>
    <t xml:space="preserve">Weight</t>
  </si>
  <si>
    <t xml:space="preserve">Threshold</t>
  </si>
  <si>
    <t xml:space="preserve">Lead Time (Days)</t>
  </si>
  <si>
    <t xml:space="preserve">Historical Accuracy</t>
  </si>
  <si>
    <t xml:space="preserve">Trigger Logic</t>
  </si>
  <si>
    <t xml:space="preserve">Current Status</t>
  </si>
  <si>
    <t xml:space="preserve">Contribution to Risk</t>
  </si>
  <si>
    <t xml:space="preserve">VIX Acceleration</t>
  </si>
  <si>
    <t xml:space="preserve">3-day change &gt; 15%</t>
  </si>
  <si>
    <t xml:space="preserve">If 3D_VIX_change &gt; 0.15 → TRIGGERED</t>
  </si>
  <si>
    <t xml:space="preserve">ACTIVE</t>
  </si>
  <si>
    <t xml:space="preserve">Treasury Volatility</t>
  </si>
  <si>
    <t xml:space="preserve">10Y move &gt; 8bps/day</t>
  </si>
  <si>
    <t xml:space="preserve">If rolling_10Y_vol &gt; 0.08 → TRIGGERED</t>
  </si>
  <si>
    <t xml:space="preserve">FX Stress Index</t>
  </si>
  <si>
    <t xml:space="preserve">EM FX Z-score &gt; 2.5</t>
  </si>
  <si>
    <t xml:space="preserve">If abs(EM_FX_zscore) &gt; 2.5 → TRIGGERED</t>
  </si>
  <si>
    <t xml:space="preserve">INACTIVE</t>
  </si>
  <si>
    <t xml:space="preserve">Credit Spread Widening</t>
  </si>
  <si>
    <t xml:space="preserve">IG spreads &gt; 15% 3M avg</t>
  </si>
  <si>
    <t xml:space="preserve">If IG_spread / IG_3M_avg &gt; 1.15 → TRIGGERED</t>
  </si>
  <si>
    <t xml:space="preserve">Commodity Dislocation</t>
  </si>
  <si>
    <t xml:space="preserve">|corr(Oil,Gold)| &lt; 0.1</t>
  </si>
  <si>
    <t xml:space="preserve">If abs(oil_gold_corr) &lt; 0.1 → TRIGGERED</t>
  </si>
  <si>
    <t xml:space="preserve">CURRENT CRISIS PROBABILITY (Weighted Sum)</t>
  </si>
  <si>
    <t xml:space="preserve">→  If &gt; 60%: ELEVATED  |  If &gt; 70%: CRITICAL</t>
  </si>
  <si>
    <t xml:space="preserve">REGIME CLASSIFICATION THRESHOLDS</t>
  </si>
  <si>
    <t xml:space="preserve">Probability Range</t>
  </si>
  <si>
    <t xml:space="preserve">Regime</t>
  </si>
  <si>
    <t xml:space="preserve">Action Required</t>
  </si>
  <si>
    <t xml:space="preserve">Expected Correlation Spike</t>
  </si>
  <si>
    <t xml:space="preserve">Drawdown Risk Premium</t>
  </si>
  <si>
    <t xml:space="preserve">0% – 40%</t>
  </si>
  <si>
    <t xml:space="preserve">NORMAL</t>
  </si>
  <si>
    <t xml:space="preserve">Maintain allocation</t>
  </si>
  <si>
    <t xml:space="preserve">0.65 – 0.70 (baseline)</t>
  </si>
  <si>
    <t xml:space="preserve">0%</t>
  </si>
  <si>
    <t xml:space="preserve">40% – 60%</t>
  </si>
  <si>
    <t xml:space="preserve">WATCH</t>
  </si>
  <si>
    <t xml:space="preserve">Monitor closely, review hedges</t>
  </si>
  <si>
    <t xml:space="preserve">0.70 – 0.78</t>
  </si>
  <si>
    <t xml:space="preserve">5% – 8%</t>
  </si>
  <si>
    <t xml:space="preserve">60% – 70%</t>
  </si>
  <si>
    <t xml:space="preserve">ELEVATED</t>
  </si>
  <si>
    <t xml:space="preserve">Reduce equity 10%, add Gold</t>
  </si>
  <si>
    <t xml:space="preserve">0.78 – 0.85</t>
  </si>
  <si>
    <t xml:space="preserve">8% – 15%</t>
  </si>
  <si>
    <t xml:space="preserve">70% – 85%</t>
  </si>
  <si>
    <t xml:space="preserve">Reduce equity 15-20%, buy puts</t>
  </si>
  <si>
    <t xml:space="preserve">0.85 – 0.92</t>
  </si>
  <si>
    <t xml:space="preserve">15% – 25%</t>
  </si>
  <si>
    <t xml:space="preserve">&gt; 85%</t>
  </si>
  <si>
    <t xml:space="preserve">CRISIS</t>
  </si>
  <si>
    <t xml:space="preserve">Defensive posture</t>
  </si>
  <si>
    <t xml:space="preserve">0.90 – 0.95+</t>
  </si>
  <si>
    <t xml:space="preserve">25% – 40%</t>
  </si>
  <si>
    <t xml:space="preserve">LEAD-LAG RELATIONSHIP ENGINE — Research-Backed Granger Causality</t>
  </si>
  <si>
    <t xml:space="preserve">Leading Indicator</t>
  </si>
  <si>
    <t xml:space="preserve">Lagging Indicator</t>
  </si>
  <si>
    <t xml:space="preserve">Lag (Days)</t>
  </si>
  <si>
    <t xml:space="preserve">Granger P-Value</t>
  </si>
  <si>
    <t xml:space="preserve">Strength (0-1)</t>
  </si>
  <si>
    <t xml:space="preserve">Confidence</t>
  </si>
  <si>
    <t xml:space="preserve">Category</t>
  </si>
  <si>
    <t xml:space="preserve">Research Source</t>
  </si>
  <si>
    <t xml:space="preserve">Trading Implication</t>
  </si>
  <si>
    <t xml:space="preserve">US 10Y Treasury Yield</t>
  </si>
  <si>
    <t xml:space="preserve">India 10Y Bond Yield</t>
  </si>
  <si>
    <t xml:space="preserve">Rates</t>
  </si>
  <si>
    <t xml:space="preserve">Bi-dir Granger 2023</t>
  </si>
  <si>
    <t xml:space="preserve">When US 10Y rises, India 10Y follows in 2 days</t>
  </si>
  <si>
    <t xml:space="preserve">S&amp;P 500</t>
  </si>
  <si>
    <t xml:space="preserve">Nifty 50</t>
  </si>
  <si>
    <t xml:space="preserve">Equity</t>
  </si>
  <si>
    <t xml:space="preserve">SEBI Research 2024</t>
  </si>
  <si>
    <t xml:space="preserve">US equity down → India opens down next day</t>
  </si>
  <si>
    <t xml:space="preserve">VIX Index</t>
  </si>
  <si>
    <t xml:space="preserve">EM Selloff</t>
  </si>
  <si>
    <t xml:space="preserve">Volatility</t>
  </si>
  <si>
    <t xml:space="preserve">IMF Working Paper</t>
  </si>
  <si>
    <t xml:space="preserve">VIX spike &gt; 25 = EM selloff within 5 days</t>
  </si>
  <si>
    <t xml:space="preserve">Oil Price (Brent)</t>
  </si>
  <si>
    <t xml:space="preserve">India CPI</t>
  </si>
  <si>
    <t xml:space="preserve">Inflation</t>
  </si>
  <si>
    <t xml:space="preserve">RBI Working Paper</t>
  </si>
  <si>
    <t xml:space="preserve">Oil +10% = India CPI +1.5% in 30 days</t>
  </si>
  <si>
    <t xml:space="preserve">DXY Index</t>
  </si>
  <si>
    <t xml:space="preserve">INR/USD Rate</t>
  </si>
  <si>
    <t xml:space="preserve">FX</t>
  </si>
  <si>
    <t xml:space="preserve">Bloomberg Research</t>
  </si>
  <si>
    <t xml:space="preserve">Same-day: DXY +1% = INR -0.4 to -0.6%</t>
  </si>
  <si>
    <t xml:space="preserve">China PMI</t>
  </si>
  <si>
    <t xml:space="preserve">European Exporters</t>
  </si>
  <si>
    <t xml:space="preserve">Macro</t>
  </si>
  <si>
    <t xml:space="preserve">ECB Research 2024</t>
  </si>
  <si>
    <t xml:space="preserve">China PMI &lt; 50 = EU industrial stocks -2%</t>
  </si>
  <si>
    <t xml:space="preserve">Iron Ore Price</t>
  </si>
  <si>
    <t xml:space="preserve">Commodity</t>
  </si>
  <si>
    <t xml:space="preserve">BHP Research</t>
  </si>
  <si>
    <t xml:space="preserve">China PMI misses = Iron Ore -2.5% per point</t>
  </si>
  <si>
    <t xml:space="preserve">China Credit Impulse</t>
  </si>
  <si>
    <t xml:space="preserve">Global Growth (6M lag)</t>
  </si>
  <si>
    <t xml:space="preserve">CrossBorder Capital</t>
  </si>
  <si>
    <t xml:space="preserve">China credit expansion predicts global GDP</t>
  </si>
  <si>
    <t xml:space="preserve">US Corporate Spreads</t>
  </si>
  <si>
    <t xml:space="preserve">EM Bond Spreads</t>
  </si>
  <si>
    <t xml:space="preserve">Credit</t>
  </si>
  <si>
    <t xml:space="preserve">JPM EM Research</t>
  </si>
  <si>
    <t xml:space="preserve">IG spreads widen &gt; 15% = EM spreads follow</t>
  </si>
  <si>
    <t xml:space="preserve">Singapore NODX</t>
  </si>
  <si>
    <t xml:space="preserve">ASEAN Trade</t>
  </si>
  <si>
    <t xml:space="preserve">Trade</t>
  </si>
  <si>
    <t xml:space="preserve">MAS Research</t>
  </si>
  <si>
    <t xml:space="preserve">Singapore trade data is ASEAN leading indicator</t>
  </si>
  <si>
    <t xml:space="preserve">US Fed Funds Futures</t>
  </si>
  <si>
    <t xml:space="preserve">EM FX</t>
  </si>
  <si>
    <t xml:space="preserve">Rates/FX</t>
  </si>
  <si>
    <t xml:space="preserve">Goldman FX Research</t>
  </si>
  <si>
    <t xml:space="preserve">Fed hawkish shift → EM FX selling in 2 days</t>
  </si>
  <si>
    <t xml:space="preserve">Nasdaq 100</t>
  </si>
  <si>
    <t xml:space="preserve">Indian IT Sector</t>
  </si>
  <si>
    <t xml:space="preserve">NSE Research</t>
  </si>
  <si>
    <t xml:space="preserve">Nasdaq -1% = Indian IT -0.7% to -0.9% next day</t>
  </si>
  <si>
    <t xml:space="preserve">US 10Y Yield</t>
  </si>
  <si>
    <t xml:space="preserve">FII Equity Flows (India)</t>
  </si>
  <si>
    <t xml:space="preserve">Flows</t>
  </si>
  <si>
    <t xml:space="preserve">SEBI Annual Report</t>
  </si>
  <si>
    <t xml:space="preserve">US 10Y +50bps = FII outflow Rs 800-1200 Cr</t>
  </si>
  <si>
    <t xml:space="preserve">Gold Price</t>
  </si>
  <si>
    <t xml:space="preserve">JPY Strength</t>
  </si>
  <si>
    <t xml:space="preserve">Safe Haven</t>
  </si>
  <si>
    <t xml:space="preserve">BIS Research</t>
  </si>
  <si>
    <t xml:space="preserve">Gold rise correlates with JPY safe-haven buying</t>
  </si>
  <si>
    <t xml:space="preserve">Africa Commodity Index</t>
  </si>
  <si>
    <t xml:space="preserve">China Infrastructure PMI</t>
  </si>
  <si>
    <t xml:space="preserve">AfDB Research</t>
  </si>
  <si>
    <t xml:space="preserve">China infra slowdown hits Africa commodity exports</t>
  </si>
  <si>
    <t xml:space="preserve">MACRO TRANSMISSION MODELS — US→India · Oil→India · China→India</t>
  </si>
  <si>
    <t xml:space="preserve">MODEL 1: US FED RATE HIKE → INDIA TRANSMISSION</t>
  </si>
  <si>
    <t xml:space="preserve">Parameter</t>
  </si>
  <si>
    <t xml:space="preserve">Value</t>
  </si>
  <si>
    <t xml:space="preserve">Unit</t>
  </si>
  <si>
    <t xml:space="preserve">Timeline</t>
  </si>
  <si>
    <t xml:space="preserve">Affected Sector</t>
  </si>
  <si>
    <t xml:space="preserve">Direction</t>
  </si>
  <si>
    <t xml:space="preserve">Input: Fed Rate Hike (bps)</t>
  </si>
  <si>
    <t xml:space="preserve">bps</t>
  </si>
  <si>
    <t xml:space="preserve">Input</t>
  </si>
  <si>
    <t xml:space="preserve">T+0</t>
  </si>
  <si>
    <t xml:space="preserve">All</t>
  </si>
  <si>
    <t xml:space="preserve">N/A</t>
  </si>
  <si>
    <t xml:space="preserve">DXY Strengthening</t>
  </si>
  <si>
    <t xml:space="preserve">% / 50bps</t>
  </si>
  <si>
    <t xml:space="preserve">USD Index</t>
  </si>
  <si>
    <t xml:space="preserve">Positive</t>
  </si>
  <si>
    <t xml:space="preserve">FII Outflow (per 50bps)</t>
  </si>
  <si>
    <t xml:space="preserve">Rs Crore</t>
  </si>
  <si>
    <t xml:space="preserve">T+1-2d</t>
  </si>
  <si>
    <t xml:space="preserve">All Equities</t>
  </si>
  <si>
    <t xml:space="preserve">Negative</t>
  </si>
  <si>
    <t xml:space="preserve">Nifty Impact (per Rs 1000Cr outflow)</t>
  </si>
  <si>
    <t xml:space="preserve">% per 1KCr</t>
  </si>
  <si>
    <t xml:space="preserve">T+2-5d</t>
  </si>
  <si>
    <t xml:space="preserve">INR Depreciation</t>
  </si>
  <si>
    <t xml:space="preserve">% per 1% DXY</t>
  </si>
  <si>
    <t xml:space="preserve">T+0-7d</t>
  </si>
  <si>
    <t xml:space="preserve">INR/USD</t>
  </si>
  <si>
    <t xml:space="preserve">IT Sector Benefit (USD revenue)</t>
  </si>
  <si>
    <t xml:space="preserve">IT Stocks</t>
  </si>
  <si>
    <t xml:space="preserve">Banking Sector Impact</t>
  </si>
  <si>
    <t xml:space="preserve">% typical</t>
  </si>
  <si>
    <t xml:space="preserve">T+2-3d</t>
  </si>
  <si>
    <t xml:space="preserve">Banks</t>
  </si>
  <si>
    <t xml:space="preserve">Auto Sector Impact</t>
  </si>
  <si>
    <t xml:space="preserve">Auto Stocks</t>
  </si>
  <si>
    <t xml:space="preserve">Pharma Benefit (USD exports)</t>
  </si>
  <si>
    <t xml:space="preserve">Pharma</t>
  </si>
  <si>
    <t xml:space="preserve">OMC Impact</t>
  </si>
  <si>
    <t xml:space="preserve">Oil Marketers</t>
  </si>
  <si>
    <t xml:space="preserve">Model Accuracy (Historical)</t>
  </si>
  <si>
    <t xml:space="preserve">confidence</t>
  </si>
  <si>
    <t xml:space="preserve">Backtest</t>
  </si>
  <si>
    <t xml:space="preserve">Full Model</t>
  </si>
  <si>
    <t xml:space="preserve">MODEL 2: OIL PRICE CHANGE → INDIA IMPACT</t>
  </si>
  <si>
    <t xml:space="preserve">Input: Brent Oil Change (%)</t>
  </si>
  <si>
    <t xml:space="preserve">%</t>
  </si>
  <si>
    <t xml:space="preserve">INR Depreciation (per 10% oil rise)</t>
  </si>
  <si>
    <t xml:space="preserve">OMC (IOC/BPCL/HPCL) Impact</t>
  </si>
  <si>
    <t xml:space="preserve">% per 1% oil</t>
  </si>
  <si>
    <t xml:space="preserve">Airlines Impact</t>
  </si>
  <si>
    <t xml:space="preserve">IndiGo/SpiceJet</t>
  </si>
  <si>
    <t xml:space="preserve">Logistics Impact</t>
  </si>
  <si>
    <t xml:space="preserve">Blue Dart/VRL</t>
  </si>
  <si>
    <t xml:space="preserve">Paint Companies Impact</t>
  </si>
  <si>
    <t xml:space="preserve">T+5-10d</t>
  </si>
  <si>
    <t xml:space="preserve">Asian Paints</t>
  </si>
  <si>
    <t xml:space="preserve">India CPI Increase (per 10% oil)</t>
  </si>
  <si>
    <t xml:space="preserve">T+30d</t>
  </si>
  <si>
    <t xml:space="preserve">CPI Index</t>
  </si>
  <si>
    <t xml:space="preserve">RBI Hawkish Probability (oil&gt;$90)</t>
  </si>
  <si>
    <t xml:space="preserve">probability</t>
  </si>
  <si>
    <t xml:space="preserve">T+30-60d</t>
  </si>
  <si>
    <t xml:space="preserve">RBI Policy</t>
  </si>
  <si>
    <t xml:space="preserve">IT Exporter Benefit (USD strength)</t>
  </si>
  <si>
    <t xml:space="preserve">% per 1% INR</t>
  </si>
  <si>
    <t xml:space="preserve">Pharma Exporter Benefit</t>
  </si>
  <si>
    <t xml:space="preserve">Current Account Deficit Widening</t>
  </si>
  <si>
    <t xml:space="preserve">% GDP per 10% oil</t>
  </si>
  <si>
    <t xml:space="preserve">CAD</t>
  </si>
  <si>
    <t xml:space="preserve">MODEL 3: CHINA PMI MISS → COMMODITY &amp; INDIA IMPACT</t>
  </si>
  <si>
    <t xml:space="preserve">Input: China PMI Miss (points below 50)</t>
  </si>
  <si>
    <t xml:space="preserve">points</t>
  </si>
  <si>
    <t xml:space="preserve">Iron Ore Price Impact</t>
  </si>
  <si>
    <t xml:space="preserve">% per point</t>
  </si>
  <si>
    <t xml:space="preserve">T+0-1d</t>
  </si>
  <si>
    <t xml:space="preserve">Iron Ore</t>
  </si>
  <si>
    <t xml:space="preserve">Copper Price Impact</t>
  </si>
  <si>
    <t xml:space="preserve">LME Copper</t>
  </si>
  <si>
    <t xml:space="preserve">Coal Price Impact</t>
  </si>
  <si>
    <t xml:space="preserve">T+0-2d</t>
  </si>
  <si>
    <t xml:space="preserve">Coal</t>
  </si>
  <si>
    <t xml:space="preserve">Tata Steel / JSW Impact</t>
  </si>
  <si>
    <t xml:space="preserve">T+1-5d</t>
  </si>
  <si>
    <t xml:space="preserve">Indian Metals</t>
  </si>
  <si>
    <t xml:space="preserve">Hindalco Impact</t>
  </si>
  <si>
    <t xml:space="preserve">Aluminium</t>
  </si>
  <si>
    <t xml:space="preserve">Cement (UltraTech) Impact</t>
  </si>
  <si>
    <t xml:space="preserve">T+3-10d</t>
  </si>
  <si>
    <t xml:space="preserve">Cement</t>
  </si>
  <si>
    <t xml:space="preserve">Indian Infra / L&amp;T Impact</t>
  </si>
  <si>
    <t xml:space="preserve">Infrastructure</t>
  </si>
  <si>
    <t xml:space="preserve">Australia / BHP Benefit / Loss</t>
  </si>
  <si>
    <t xml:space="preserve">Bulk Mining</t>
  </si>
  <si>
    <t xml:space="preserve">Africa Commodity Exporters Impact</t>
  </si>
  <si>
    <t xml:space="preserve">T+2-7d</t>
  </si>
  <si>
    <t xml:space="preserve">Africa EM</t>
  </si>
  <si>
    <t xml:space="preserve">Chilean Copper Equities Impact</t>
  </si>
  <si>
    <t xml:space="preserve">T+1-3d</t>
  </si>
  <si>
    <t xml:space="preserve">CL Market</t>
  </si>
  <si>
    <t xml:space="preserve">MARKET DRIVERS &amp; KEY RISKS — All 45 Emerging Markets</t>
  </si>
  <si>
    <t xml:space="preserve">Driver 1</t>
  </si>
  <si>
    <t xml:space="preserve">Driver 2</t>
  </si>
  <si>
    <t xml:space="preserve">Driver 3</t>
  </si>
  <si>
    <t xml:space="preserve">Driver 4</t>
  </si>
  <si>
    <t xml:space="preserve">Key Risk</t>
  </si>
  <si>
    <t xml:space="preserve">IT Exports</t>
  </si>
  <si>
    <t xml:space="preserve">FII Flows</t>
  </si>
  <si>
    <t xml:space="preserve">Oil Imports</t>
  </si>
  <si>
    <t xml:space="preserve">Monsoon</t>
  </si>
  <si>
    <t xml:space="preserve">Oil Price Shock</t>
  </si>
  <si>
    <t xml:space="preserve">IMF Program</t>
  </si>
  <si>
    <t xml:space="preserve">Remittances</t>
  </si>
  <si>
    <t xml:space="preserve">China CPEC</t>
  </si>
  <si>
    <t xml:space="preserve">Agriculture</t>
  </si>
  <si>
    <t xml:space="preserve">IMF Bailout Risk</t>
  </si>
  <si>
    <t xml:space="preserve">Garment Exports</t>
  </si>
  <si>
    <t xml:space="preserve">China FDI</t>
  </si>
  <si>
    <t xml:space="preserve">Political Instability</t>
  </si>
  <si>
    <t xml:space="preserve">Tourism</t>
  </si>
  <si>
    <t xml:space="preserve">Tea Exports</t>
  </si>
  <si>
    <t xml:space="preserve">IMF Recovery</t>
  </si>
  <si>
    <t xml:space="preserve">Debt Restructuring</t>
  </si>
  <si>
    <t xml:space="preserve">Coal Exports</t>
  </si>
  <si>
    <t xml:space="preserve">Palm Oil</t>
  </si>
  <si>
    <t xml:space="preserve">Nickel</t>
  </si>
  <si>
    <t xml:space="preserve">China Demand</t>
  </si>
  <si>
    <t xml:space="preserve">Coal Demand Collapse</t>
  </si>
  <si>
    <t xml:space="preserve">Semiconductor</t>
  </si>
  <si>
    <t xml:space="preserve">LNG Exports</t>
  </si>
  <si>
    <t xml:space="preserve">USD Strength</t>
  </si>
  <si>
    <t xml:space="preserve">Auto Exports</t>
  </si>
  <si>
    <t xml:space="preserve">Electronics</t>
  </si>
  <si>
    <t xml:space="preserve">BPO Services</t>
  </si>
  <si>
    <t xml:space="preserve">Real Estate</t>
  </si>
  <si>
    <t xml:space="preserve">Consumption</t>
  </si>
  <si>
    <t xml:space="preserve">Manufacturing</t>
  </si>
  <si>
    <t xml:space="preserve">Electronics Exports</t>
  </si>
  <si>
    <t xml:space="preserve">FDI Inflows</t>
  </si>
  <si>
    <t xml:space="preserve">China Slowdown</t>
  </si>
  <si>
    <t xml:space="preserve">Trade Hub</t>
  </si>
  <si>
    <t xml:space="preserve">REIT Yields</t>
  </si>
  <si>
    <t xml:space="preserve">Finance</t>
  </si>
  <si>
    <t xml:space="preserve">Tech</t>
  </si>
  <si>
    <t xml:space="preserve">Global Trade Slowdown</t>
  </si>
  <si>
    <t xml:space="preserve">Manufacturing PMI</t>
  </si>
  <si>
    <t xml:space="preserve">Property Sector</t>
  </si>
  <si>
    <t xml:space="preserve">Credit Impulse</t>
  </si>
  <si>
    <t xml:space="preserve">Exports</t>
  </si>
  <si>
    <t xml:space="preserve">Property Crisis</t>
  </si>
  <si>
    <t xml:space="preserve">K-Pop/Tech</t>
  </si>
  <si>
    <t xml:space="preserve">China Exports</t>
  </si>
  <si>
    <t xml:space="preserve">Auto</t>
  </si>
  <si>
    <t xml:space="preserve">TSMC/Semiconductors</t>
  </si>
  <si>
    <t xml:space="preserve">USD Earnings</t>
  </si>
  <si>
    <t xml:space="preserve">AI Demand</t>
  </si>
  <si>
    <t xml:space="preserve">Geopolitical Risk</t>
  </si>
  <si>
    <t xml:space="preserve">China Proxy</t>
  </si>
  <si>
    <t xml:space="preserve">Finance Hub</t>
  </si>
  <si>
    <t xml:space="preserve">USD Peg</t>
  </si>
  <si>
    <t xml:space="preserve">China Regulatory</t>
  </si>
  <si>
    <t xml:space="preserve">Soybean</t>
  </si>
  <si>
    <t xml:space="preserve">Oil (Petrobras)</t>
  </si>
  <si>
    <t xml:space="preserve">Commodities</t>
  </si>
  <si>
    <t xml:space="preserve">Political Risk</t>
  </si>
  <si>
    <t xml:space="preserve">US Trade (USMCA)</t>
  </si>
  <si>
    <t xml:space="preserve">Oil</t>
  </si>
  <si>
    <t xml:space="preserve">Nearshoring</t>
  </si>
  <si>
    <t xml:space="preserve">US Policy Risk</t>
  </si>
  <si>
    <t xml:space="preserve">Copper</t>
  </si>
  <si>
    <t xml:space="preserve">Lithium</t>
  </si>
  <si>
    <t xml:space="preserve">Copper Price</t>
  </si>
  <si>
    <t xml:space="preserve">Oil Exports</t>
  </si>
  <si>
    <t xml:space="preserve">Oil Price Fall</t>
  </si>
  <si>
    <t xml:space="preserve">Gold</t>
  </si>
  <si>
    <t xml:space="preserve">Silver</t>
  </si>
  <si>
    <t xml:space="preserve">Zinc</t>
  </si>
  <si>
    <t xml:space="preserve">Milei Reforms</t>
  </si>
  <si>
    <t xml:space="preserve">Hyperinflation</t>
  </si>
  <si>
    <t xml:space="preserve">Platinum</t>
  </si>
  <si>
    <t xml:space="preserve">Power Crisis (Eskom)</t>
  </si>
  <si>
    <t xml:space="preserve">Oil (NNPC)</t>
  </si>
  <si>
    <t xml:space="preserve">Diaspora Remittances</t>
  </si>
  <si>
    <t xml:space="preserve">FX Volatility</t>
  </si>
  <si>
    <t xml:space="preserve">Suez Canal</t>
  </si>
  <si>
    <t xml:space="preserve">Gas Exports</t>
  </si>
  <si>
    <t xml:space="preserve">Currency Devaluation</t>
  </si>
  <si>
    <t xml:space="preserve">Tea</t>
  </si>
  <si>
    <t xml:space="preserve">Coffee</t>
  </si>
  <si>
    <t xml:space="preserve">Fintech (M-Pesa)</t>
  </si>
  <si>
    <t xml:space="preserve">Horticulture</t>
  </si>
  <si>
    <t xml:space="preserve">USD Debt Burden</t>
  </si>
  <si>
    <t xml:space="preserve">Cocoa</t>
  </si>
  <si>
    <t xml:space="preserve">Oil (Offshore)</t>
  </si>
  <si>
    <t xml:space="preserve">Phosphates</t>
  </si>
  <si>
    <t xml:space="preserve">Europe Slowdown</t>
  </si>
  <si>
    <t xml:space="preserve">Tourism (Serengeti)</t>
  </si>
  <si>
    <t xml:space="preserve">Gas (LNG)</t>
  </si>
  <si>
    <t xml:space="preserve">Infrastructure Gap</t>
  </si>
  <si>
    <t xml:space="preserve">Oil (OPEC+)</t>
  </si>
  <si>
    <t xml:space="preserve">Vision 2030</t>
  </si>
  <si>
    <t xml:space="preserve">NEOM</t>
  </si>
  <si>
    <t xml:space="preserve">Aramco</t>
  </si>
  <si>
    <t xml:space="preserve">Oil Dependency</t>
  </si>
  <si>
    <t xml:space="preserve">FIFA Legacy</t>
  </si>
  <si>
    <t xml:space="preserve">Sovereign Fund</t>
  </si>
  <si>
    <t xml:space="preserve">LNG Price Volatility</t>
  </si>
  <si>
    <t xml:space="preserve">Defense</t>
  </si>
  <si>
    <t xml:space="preserve">Lira Depreciation</t>
  </si>
  <si>
    <t xml:space="preserve">Tech/Cybersecurity</t>
  </si>
  <si>
    <t xml:space="preserve">Oil (KPC)</t>
  </si>
  <si>
    <t xml:space="preserve">EU Funds</t>
  </si>
  <si>
    <t xml:space="preserve">Banking</t>
  </si>
  <si>
    <t xml:space="preserve">Energy Transition</t>
  </si>
  <si>
    <t xml:space="preserve">Russia Proximity</t>
  </si>
  <si>
    <t xml:space="preserve">Auto Manufacturing</t>
  </si>
  <si>
    <t xml:space="preserve">EU Trade</t>
  </si>
  <si>
    <t xml:space="preserve">Germany Recession</t>
  </si>
  <si>
    <t xml:space="preserve">Auto/Manufacturing</t>
  </si>
  <si>
    <t xml:space="preserve">Energy Costs</t>
  </si>
  <si>
    <t xml:space="preserve">IT Services</t>
  </si>
  <si>
    <t xml:space="preserve">Large Deficit</t>
  </si>
  <si>
    <t xml:space="preserve">Shipping</t>
  </si>
  <si>
    <t xml:space="preserve">Debt Level</t>
  </si>
  <si>
    <t xml:space="preserve">PLATFORM PRICING TIERS &amp; REVENUE MODEL</t>
  </si>
  <si>
    <t xml:space="preserve">Tier</t>
  </si>
  <si>
    <t xml:space="preserve">Price ($/Month)</t>
  </si>
  <si>
    <t xml:space="preserve">Target Users</t>
  </si>
  <si>
    <t xml:space="preserve">Year 2 Users</t>
  </si>
  <si>
    <t xml:space="preserve">MRR ($)</t>
  </si>
  <si>
    <t xml:space="preserve">ARR ($)</t>
  </si>
  <si>
    <t xml:space="preserve">Data Delay</t>
  </si>
  <si>
    <t xml:space="preserve">Key Features</t>
  </si>
  <si>
    <t xml:space="preserve">Primary Persona</t>
  </si>
  <si>
    <t xml:space="preserve">Gross Margin %</t>
  </si>
  <si>
    <t xml:space="preserve">Explorer</t>
  </si>
  <si>
    <t xml:space="preserve">15 min delay</t>
  </si>
  <si>
    <t xml:space="preserve">Portfolio tracking, basic correlation, market snapshot</t>
  </si>
  <si>
    <t xml:space="preserve">Retail — Top funnel</t>
  </si>
  <si>
    <t xml:space="preserve">Investor</t>
  </si>
  <si>
    <t xml:space="preserve">Real-time</t>
  </si>
  <si>
    <t xml:space="preserve">Full correlation matrix, AI insights, crisis alerts, all 45 EMs</t>
  </si>
  <si>
    <t xml:space="preserve">Retail — Paid</t>
  </si>
  <si>
    <t xml:space="preserve">Trader</t>
  </si>
  <si>
    <t xml:space="preserve">Advanced charting, backtesting, lead-lag engine, API access</t>
  </si>
  <si>
    <t xml:space="preserve">Active Traders</t>
  </si>
  <si>
    <t xml:space="preserve">Professional</t>
  </si>
  <si>
    <t xml:space="preserve">Alt data, custom models, white-label, PMS tools</t>
  </si>
  <si>
    <t xml:space="preserve">Family Office / PMS</t>
  </si>
  <si>
    <t xml:space="preserve">Enterprise</t>
  </si>
  <si>
    <t xml:space="preserve">5000-50000</t>
  </si>
  <si>
    <t xml:space="preserve">Real-time+</t>
  </si>
  <si>
    <t xml:space="preserve">Dedicated infra, on-premise, 24/7 support, custom integrations</t>
  </si>
  <si>
    <t xml:space="preserve">Institutional</t>
  </si>
  <si>
    <t xml:space="preserve">YEAR 2 TOTALS</t>
  </si>
  <si>
    <t xml:space="preserve">SCENARIO ANALYSIS — Portfolio Impact Models</t>
  </si>
  <si>
    <t xml:space="preserve">Scenario</t>
  </si>
  <si>
    <t xml:space="preserve">Input Parameter</t>
  </si>
  <si>
    <t xml:space="preserve">Portfolio AUM ($M)</t>
  </si>
  <si>
    <t xml:space="preserve">Expected Impact ($M)</t>
  </si>
  <si>
    <t xml:space="preserve">Impact (%)</t>
  </si>
  <si>
    <t xml:space="preserve">Key Sectors Affected</t>
  </si>
  <si>
    <t xml:space="preserve">FED HIKE 50bps</t>
  </si>
  <si>
    <t xml:space="preserve">Rate change: +0.50%</t>
  </si>
  <si>
    <t xml:space="preserve">T+2-5 days</t>
  </si>
  <si>
    <t xml:space="preserve">Banks(-1.2%), Auto(-0.8%), IT(+0.5-1.2%), OMCs(-0.3%)</t>
  </si>
  <si>
    <t xml:space="preserve">FED HIKE 25bps</t>
  </si>
  <si>
    <t xml:space="preserve">Rate change: +0.25%</t>
  </si>
  <si>
    <t xml:space="preserve">Banks(-0.6%), Auto(-0.4%), IT(+0.3-0.6%)</t>
  </si>
  <si>
    <t xml:space="preserve">OIL SURGE $10</t>
  </si>
  <si>
    <t xml:space="preserve">Brent: $87→$97</t>
  </si>
  <si>
    <t xml:space="preserve">T+0-30 days</t>
  </si>
  <si>
    <t xml:space="preserve">OMCs(-1.2%), Airlines(-0.8%), IT(+0.5%), Logistics(-0.5%)</t>
  </si>
  <si>
    <t xml:space="preserve">OIL SPIKE $100</t>
  </si>
  <si>
    <t xml:space="preserve">Brent: $87→$100</t>
  </si>
  <si>
    <t xml:space="preserve">OMCs(-2%), Airlines(-1.5%), Pharma(+0.8%), IT(+1%)</t>
  </si>
  <si>
    <t xml:space="preserve">CHINA STIMULUS</t>
  </si>
  <si>
    <t xml:space="preserve">PMI: 49→53</t>
  </si>
  <si>
    <t xml:space="preserve">T+3-10 days</t>
  </si>
  <si>
    <t xml:space="preserve">Metals(+6%), Cement(+3%), Infra(+4%), Mining(+8%)</t>
  </si>
  <si>
    <t xml:space="preserve">CHINA SLOWDOWN</t>
  </si>
  <si>
    <t xml:space="preserve">PMI: 49→46</t>
  </si>
  <si>
    <t xml:space="preserve">T+1-7 days</t>
  </si>
  <si>
    <t xml:space="preserve">Tata Steel(-4%), Hindalco(-3%), Vedanta(-3%)</t>
  </si>
  <si>
    <t xml:space="preserve">USD DOLLAR +5%</t>
  </si>
  <si>
    <t xml:space="preserve">DXY: 104→109</t>
  </si>
  <si>
    <t xml:space="preserve">T+0-7 days</t>
  </si>
  <si>
    <t xml:space="preserve">All EM FX, FII outflows, IT(+2.5%), Pharma(+1.5%)</t>
  </si>
  <si>
    <t xml:space="preserve">EM CRISIS EVENT</t>
  </si>
  <si>
    <t xml:space="preserve">VIX spike &gt; 35</t>
  </si>
  <si>
    <t xml:space="preserve">T+0-14 days</t>
  </si>
  <si>
    <t xml:space="preserve">All EM equities, correlation spike to 0.85+</t>
  </si>
  <si>
    <t xml:space="preserve">INDIA RATE CUT</t>
  </si>
  <si>
    <t xml:space="preserve">RBI -25bps</t>
  </si>
  <si>
    <t xml:space="preserve">T+0-5 days</t>
  </si>
  <si>
    <t xml:space="preserve">Banks(+1.5%), NBFC(+2%), Real Estate(+2%)</t>
  </si>
  <si>
    <t xml:space="preserve">GLOBAL RECESSION</t>
  </si>
  <si>
    <t xml:space="preserve">SPX -20%</t>
  </si>
  <si>
    <t xml:space="preserve">All assets, 30-40% drawdown, gold safe haven</t>
  </si>
  <si>
    <t xml:space="preserve">ALPHAEDGE — CROSS-SHEET KPI SUMMARY</t>
  </si>
  <si>
    <t xml:space="preserve">── MARKET COVERAGE</t>
  </si>
  <si>
    <t xml:space="preserve">Notes / Source</t>
  </si>
  <si>
    <t xml:space="preserve">Total Emerging Markets Tracked</t>
  </si>
  <si>
    <t xml:space="preserve">Count of all markets in the engine</t>
  </si>
  <si>
    <t xml:space="preserve">Market Coverage Formula</t>
  </si>
  <si>
    <t xml:space="preserve">Auto-count from sheet 01</t>
  </si>
  <si>
    <t xml:space="preserve">Regions Covered</t>
  </si>
  <si>
    <t xml:space="preserve">South Asia, SE Asia, East Asia, LatAm, Africa, ME, E.Europe</t>
  </si>
  <si>
    <t xml:space="preserve">Frontier Markets</t>
  </si>
  <si>
    <t xml:space="preserve">Auto from sheet 01</t>
  </si>
  <si>
    <t xml:space="preserve">Emerging Markets</t>
  </si>
  <si>
    <t xml:space="preserve">── CORRELATION STATISTICS</t>
  </si>
  <si>
    <t xml:space="preserve">Avg SPX Correlation (all EMs)</t>
  </si>
  <si>
    <t xml:space="preserve">DCC-GARCH 30-day rolling</t>
  </si>
  <si>
    <t xml:space="preserve">Max SPX Correlation</t>
  </si>
  <si>
    <t xml:space="preserve">Highest market corr to SPX</t>
  </si>
  <si>
    <t xml:space="preserve">Markets High Corr to SPX (&gt;0.6)</t>
  </si>
  <si>
    <t xml:space="preserve">Markets that follow SPX closely</t>
  </si>
  <si>
    <t xml:space="preserve">Markets Oil-Positive (corr&gt;0.5)</t>
  </si>
  <si>
    <t xml:space="preserve">Net oil exporters by correlation</t>
  </si>
  <si>
    <t xml:space="preserve">Markets China-Linked (corr&gt;0.5)</t>
  </si>
  <si>
    <t xml:space="preserve">Commodity demand dependent</t>
  </si>
  <si>
    <t xml:space="preserve">── RISK STATISTICS</t>
  </si>
  <si>
    <t xml:space="preserve">Avg Risk Score (all EMs)</t>
  </si>
  <si>
    <t xml:space="preserve">0=lowest, 100=highest risk</t>
  </si>
  <si>
    <t xml:space="preserve">Markets: Critical Risk (score&gt;70)</t>
  </si>
  <si>
    <t xml:space="preserve">Highest vulnerability</t>
  </si>
  <si>
    <t xml:space="preserve">Markets: High Inflation (CPI&gt;15%)</t>
  </si>
  <si>
    <t xml:space="preserve">Crisis inflation threshold</t>
  </si>
  <si>
    <t xml:space="preserve">Avg GDP Growth (all EMs)</t>
  </si>
  <si>
    <t xml:space="preserve">Growth weighted average</t>
  </si>
  <si>
    <t xml:space="preserve">Markets Growing &gt;5% GDP</t>
  </si>
  <si>
    <t xml:space="preserve">High-growth emerging markets</t>
  </si>
  <si>
    <t xml:space="preserve">── CRISIS PREDICTOR</t>
  </si>
  <si>
    <t xml:space="preserve">Current Crisis Probability</t>
  </si>
  <si>
    <t xml:space="preserve">From crisis predictor model</t>
  </si>
  <si>
    <t xml:space="preserve">Active Signals (of 5 total)</t>
  </si>
  <si>
    <t xml:space="preserve">Signals currently triggered</t>
  </si>
  <si>
    <t xml:space="preserve">Total Signal Weight Activated</t>
  </si>
  <si>
    <t xml:space="preserve">Weighted sum of active signals</t>
  </si>
  <si>
    <t xml:space="preserve">── PLATFORM REVENUE MODEL</t>
  </si>
  <si>
    <t xml:space="preserve">Year 2 Target MRR ($)</t>
  </si>
  <si>
    <t xml:space="preserve">From pricing model</t>
  </si>
  <si>
    <t xml:space="preserve">Year 2 Target ARR ($)</t>
  </si>
  <si>
    <t xml:space="preserve">Annual Recurring Revenue</t>
  </si>
  <si>
    <t xml:space="preserve">Gross Margin (avg across tiers)</t>
  </si>
  <si>
    <t xml:space="preserve">89% gross margin target</t>
  </si>
  <si>
    <t xml:space="preserve">CAC (Customer Acquisition Cost)</t>
  </si>
  <si>
    <t xml:space="preserve">$45 blended across channels</t>
  </si>
  <si>
    <t xml:space="preserve">LTV (Customer Lifetime Value)</t>
  </si>
  <si>
    <t xml:space="preserve">$194 based on 6.7 month avg life</t>
  </si>
  <si>
    <t xml:space="preserve">LTV / CAC Ratio</t>
  </si>
  <si>
    <t xml:space="preserve">&gt;3x is healthy; target 4.3x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</si>
</sst>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"/>
    <numFmt numFmtId="167" formatCode="0.0%"/>
    <numFmt numFmtId="168" formatCode="0%"/>
    <numFmt numFmtId="169" formatCode="0.000"/>
    <numFmt numFmtId="170" formatCode="General"/>
    <numFmt numFmtId="171" formatCode="\$#,##0"/>
    <numFmt numFmtId="172" formatCode="\$#,##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9E0B"/>
      <name val="Arial"/>
      <family val="0"/>
      <charset val="1"/>
    </font>
    <font>
      <sz val="10"/>
      <color rgb="FF64748B"/>
      <name val="Arial"/>
      <family val="0"/>
      <charset val="1"/>
    </font>
    <font>
      <sz val="8"/>
      <color rgb="FFF8FAFC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sz val="10"/>
      <color rgb="FFF8FAFC"/>
      <name val="Arial"/>
      <family val="0"/>
      <charset val="1"/>
    </font>
    <font>
      <sz val="9"/>
      <color rgb="FFF8FAFC"/>
      <name val="Arial"/>
      <family val="0"/>
      <charset val="1"/>
    </font>
    <font>
      <sz val="9"/>
      <color rgb="FFCBD5E1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9"/>
      <color rgb="FFF59E0B"/>
      <name val="Arial"/>
      <family val="0"/>
      <charset val="1"/>
    </font>
    <font>
      <sz val="9"/>
      <color rgb="FF64748B"/>
      <name val="Arial"/>
      <family val="0"/>
      <charset val="1"/>
    </font>
    <font>
      <sz val="9"/>
      <color rgb="FFF59E0B"/>
      <name val="Arial"/>
      <family val="0"/>
      <charset val="1"/>
    </font>
    <font>
      <b val="true"/>
      <sz val="9"/>
      <color rgb="FFF8FAFC"/>
      <name val="Arial"/>
      <family val="0"/>
      <charset val="1"/>
    </font>
    <font>
      <sz val="9"/>
      <color rgb="FF22D3EE"/>
      <name val="Arial"/>
      <family val="0"/>
      <charset val="1"/>
    </font>
    <font>
      <sz val="9"/>
      <color rgb="FFEF4444"/>
      <name val="Arial"/>
      <family val="0"/>
      <charset val="1"/>
    </font>
    <font>
      <sz val="9"/>
      <color rgb="FFF97316"/>
      <name val="Arial"/>
      <family val="0"/>
      <charset val="1"/>
    </font>
    <font>
      <sz val="9"/>
      <color rgb="FF22C55E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22D3EE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9"/>
      <color rgb="FFEF444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F97316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sz val="9"/>
      <color rgb="FF3B82F6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E1A"/>
        <bgColor rgb="FF080C16"/>
      </patternFill>
    </fill>
    <fill>
      <patternFill patternType="solid">
        <fgColor rgb="FF06090F"/>
        <bgColor rgb="FF080C16"/>
      </patternFill>
    </fill>
    <fill>
      <patternFill patternType="solid">
        <fgColor rgb="FF080C16"/>
        <bgColor rgb="FF0A0E1A"/>
      </patternFill>
    </fill>
    <fill>
      <patternFill patternType="solid">
        <fgColor rgb="FF0D1220"/>
        <bgColor rgb="FF0A0E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A3D"/>
      </left>
      <right style="thin">
        <color rgb="FF1E2A3D"/>
      </right>
      <top style="thin">
        <color rgb="FF1E2A3D"/>
      </top>
      <bottom style="thin">
        <color rgb="FF1E2A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08080"/>
      <rgbColor rgb="FF8B5CF6"/>
      <rgbColor rgb="FFEF4444"/>
      <rgbColor rgb="FFFFFFCC"/>
      <rgbColor rgb="FFCCFFFF"/>
      <rgbColor rgb="FF660066"/>
      <rgbColor rgb="FFFF8080"/>
      <rgbColor rgb="FF0066CC"/>
      <rgbColor rgb="FFCBD5E1"/>
      <rgbColor rgb="FF080C16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D3EE"/>
      <rgbColor rgb="FF99CC00"/>
      <rgbColor rgb="FFFFCC00"/>
      <rgbColor rgb="FFF59E0B"/>
      <rgbColor rgb="FFF97316"/>
      <rgbColor rgb="FF64748B"/>
      <rgbColor rgb="FF969696"/>
      <rgbColor rgb="FF003366"/>
      <rgbColor rgb="FF22C55E"/>
      <rgbColor rgb="FF0D1220"/>
      <rgbColor rgb="FF06090F"/>
      <rgbColor rgb="FF993300"/>
      <rgbColor rgb="FF993366"/>
      <rgbColor rgb="FF333399"/>
      <rgbColor rgb="FF1E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8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18" hidden="false" customHeight="true" outlineLevel="0" collapsed="false">
      <c r="A3" s="4"/>
    </row>
    <row r="4" customFormat="false" ht="18" hidden="false" customHeight="true" outlineLevel="0" collapsed="false">
      <c r="A4" s="5" t="s">
        <v>2</v>
      </c>
    </row>
    <row r="5" customFormat="false" ht="18" hidden="false" customHeight="true" outlineLevel="0" collapsed="false">
      <c r="A5" s="6" t="s">
        <v>3</v>
      </c>
    </row>
    <row r="6" customFormat="false" ht="18" hidden="false" customHeight="true" outlineLevel="0" collapsed="false">
      <c r="A6" s="6" t="s">
        <v>4</v>
      </c>
    </row>
    <row r="7" customFormat="false" ht="18" hidden="false" customHeight="true" outlineLevel="0" collapsed="false">
      <c r="A7" s="6" t="s">
        <v>5</v>
      </c>
    </row>
    <row r="8" customFormat="false" ht="18" hidden="false" customHeight="true" outlineLevel="0" collapsed="false">
      <c r="A8" s="6"/>
    </row>
    <row r="9" customFormat="false" ht="18" hidden="false" customHeight="true" outlineLevel="0" collapsed="false">
      <c r="A9" s="5" t="s">
        <v>6</v>
      </c>
    </row>
    <row r="10" customFormat="false" ht="18" hidden="false" customHeight="true" outlineLevel="0" collapsed="false">
      <c r="A10" s="7" t="s">
        <v>7</v>
      </c>
    </row>
    <row r="11" customFormat="false" ht="18" hidden="false" customHeight="true" outlineLevel="0" collapsed="false">
      <c r="A11" s="8" t="s">
        <v>8</v>
      </c>
    </row>
    <row r="12" customFormat="false" ht="18" hidden="false" customHeight="true" outlineLevel="0" collapsed="false">
      <c r="A12" s="7" t="s">
        <v>9</v>
      </c>
    </row>
    <row r="13" customFormat="false" ht="18" hidden="false" customHeight="true" outlineLevel="0" collapsed="false">
      <c r="A13" s="8" t="s">
        <v>10</v>
      </c>
    </row>
    <row r="14" customFormat="false" ht="18" hidden="false" customHeight="true" outlineLevel="0" collapsed="false">
      <c r="A14" s="7" t="s">
        <v>11</v>
      </c>
    </row>
    <row r="15" customFormat="false" ht="18" hidden="false" customHeight="true" outlineLevel="0" collapsed="false">
      <c r="A15" s="8" t="s">
        <v>12</v>
      </c>
    </row>
    <row r="16" customFormat="false" ht="18" hidden="false" customHeight="true" outlineLevel="0" collapsed="false">
      <c r="A16" s="7" t="s">
        <v>13</v>
      </c>
    </row>
    <row r="17" customFormat="false" ht="18" hidden="false" customHeight="true" outlineLevel="0" collapsed="false">
      <c r="A17" s="8" t="s">
        <v>14</v>
      </c>
    </row>
    <row r="18" customFormat="false" ht="18" hidden="false" customHeight="true" outlineLevel="0" collapsed="false">
      <c r="A18" s="7" t="s">
        <v>15</v>
      </c>
    </row>
    <row r="19" customFormat="false" ht="18" hidden="false" customHeight="true" outlineLevel="0" collapsed="false">
      <c r="A19" s="8" t="s">
        <v>16</v>
      </c>
    </row>
    <row r="20" customFormat="false" ht="18" hidden="false" customHeight="true" outlineLevel="0" collapsed="false"/>
    <row r="21" customFormat="false" ht="18" hidden="false" customHeight="true" outlineLevel="0" collapsed="false">
      <c r="A21" s="6"/>
    </row>
    <row r="22" customFormat="false" ht="18" hidden="false" customHeight="true" outlineLevel="0" collapsed="false">
      <c r="A22" s="5" t="s">
        <v>17</v>
      </c>
    </row>
    <row r="23" customFormat="false" ht="18" hidden="false" customHeight="true" outlineLevel="0" collapsed="false">
      <c r="A23" s="9" t="s">
        <v>18</v>
      </c>
    </row>
    <row r="24" customFormat="false" ht="18" hidden="false" customHeight="true" outlineLevel="0" collapsed="false">
      <c r="A24" s="9" t="s">
        <v>19</v>
      </c>
    </row>
    <row r="25" customFormat="false" ht="18" hidden="false" customHeight="true" outlineLevel="0" collapsed="false">
      <c r="A25" s="9" t="s">
        <v>20</v>
      </c>
    </row>
    <row r="26" customFormat="false" ht="18" hidden="false" customHeight="true" outlineLevel="0" collapsed="false">
      <c r="A26" s="9" t="s">
        <v>21</v>
      </c>
    </row>
    <row r="27" customFormat="false" ht="18" hidden="false" customHeight="true" outlineLevel="0" collapsed="false">
      <c r="A27" s="9" t="s">
        <v>22</v>
      </c>
    </row>
    <row r="28" customFormat="false" ht="18" hidden="false" customHeight="true" outlineLevel="0" collapsed="false"/>
    <row r="29" customFormat="false" ht="18" hidden="false" customHeight="true" outlineLevel="0" collapsed="false">
      <c r="A29" s="6"/>
    </row>
    <row r="30" customFormat="false" ht="18" hidden="false" customHeight="true" outlineLevel="0" collapsed="false">
      <c r="A30" s="10" t="s">
        <v>23</v>
      </c>
    </row>
    <row r="31" customFormat="false" ht="18" hidden="false" customHeight="true" outlineLevel="0" collapsed="false">
      <c r="A31" s="10" t="s">
        <v>24</v>
      </c>
    </row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5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  <c r="K2" s="12" t="s">
        <v>36</v>
      </c>
    </row>
    <row r="3" customFormat="false" ht="15" hidden="false" customHeight="true" outlineLevel="0" collapsed="false">
      <c r="A3" s="13" t="s">
        <v>37</v>
      </c>
      <c r="B3" s="14" t="s">
        <v>38</v>
      </c>
      <c r="C3" s="15" t="s">
        <v>39</v>
      </c>
      <c r="D3" s="16" t="s">
        <v>40</v>
      </c>
      <c r="E3" s="17" t="s">
        <v>41</v>
      </c>
      <c r="F3" s="16" t="s">
        <v>42</v>
      </c>
      <c r="G3" s="18" t="s">
        <v>43</v>
      </c>
      <c r="H3" s="16" t="s">
        <v>44</v>
      </c>
      <c r="I3" s="19" t="n">
        <v>-0.0021</v>
      </c>
      <c r="J3" s="20" t="s">
        <v>45</v>
      </c>
      <c r="K3" s="16" t="s">
        <v>46</v>
      </c>
    </row>
    <row r="4" customFormat="false" ht="15" hidden="false" customHeight="true" outlineLevel="0" collapsed="false">
      <c r="A4" s="21" t="s">
        <v>37</v>
      </c>
      <c r="B4" s="22" t="s">
        <v>47</v>
      </c>
      <c r="C4" s="23" t="s">
        <v>48</v>
      </c>
      <c r="D4" s="24" t="s">
        <v>49</v>
      </c>
      <c r="E4" s="25" t="s">
        <v>50</v>
      </c>
      <c r="F4" s="24" t="s">
        <v>51</v>
      </c>
      <c r="G4" s="26" t="s">
        <v>52</v>
      </c>
      <c r="H4" s="24" t="s">
        <v>53</v>
      </c>
      <c r="I4" s="27" t="n">
        <v>-0.0082</v>
      </c>
      <c r="J4" s="28" t="s">
        <v>54</v>
      </c>
      <c r="K4" s="24" t="s">
        <v>55</v>
      </c>
    </row>
    <row r="5" customFormat="false" ht="15" hidden="false" customHeight="true" outlineLevel="0" collapsed="false">
      <c r="A5" s="13" t="s">
        <v>37</v>
      </c>
      <c r="B5" s="14" t="s">
        <v>56</v>
      </c>
      <c r="C5" s="15" t="s">
        <v>57</v>
      </c>
      <c r="D5" s="16" t="s">
        <v>58</v>
      </c>
      <c r="E5" s="17" t="s">
        <v>59</v>
      </c>
      <c r="F5" s="16" t="s">
        <v>60</v>
      </c>
      <c r="G5" s="18" t="s">
        <v>61</v>
      </c>
      <c r="H5" s="16" t="s">
        <v>62</v>
      </c>
      <c r="I5" s="19" t="n">
        <v>-0.0015</v>
      </c>
      <c r="J5" s="29" t="s">
        <v>54</v>
      </c>
      <c r="K5" s="16" t="s">
        <v>63</v>
      </c>
    </row>
    <row r="6" customFormat="false" ht="15" hidden="false" customHeight="true" outlineLevel="0" collapsed="false">
      <c r="A6" s="21" t="s">
        <v>37</v>
      </c>
      <c r="B6" s="22" t="s">
        <v>64</v>
      </c>
      <c r="C6" s="23" t="s">
        <v>65</v>
      </c>
      <c r="D6" s="24" t="s">
        <v>66</v>
      </c>
      <c r="E6" s="25" t="s">
        <v>67</v>
      </c>
      <c r="F6" s="24" t="s">
        <v>68</v>
      </c>
      <c r="G6" s="26" t="s">
        <v>69</v>
      </c>
      <c r="H6" s="24" t="s">
        <v>70</v>
      </c>
      <c r="I6" s="30" t="n">
        <v>0.0034</v>
      </c>
      <c r="J6" s="28" t="s">
        <v>54</v>
      </c>
      <c r="K6" s="24" t="s">
        <v>71</v>
      </c>
    </row>
    <row r="7" customFormat="false" ht="15" hidden="false" customHeight="true" outlineLevel="0" collapsed="false">
      <c r="A7" s="13" t="s">
        <v>72</v>
      </c>
      <c r="B7" s="14" t="s">
        <v>27</v>
      </c>
      <c r="C7" s="15" t="s">
        <v>73</v>
      </c>
      <c r="D7" s="16" t="s">
        <v>74</v>
      </c>
      <c r="E7" s="17" t="s">
        <v>75</v>
      </c>
      <c r="F7" s="16" t="s">
        <v>76</v>
      </c>
      <c r="G7" s="18" t="s">
        <v>77</v>
      </c>
      <c r="H7" s="16" t="s">
        <v>78</v>
      </c>
      <c r="I7" s="19" t="n">
        <v>-0.0012</v>
      </c>
      <c r="J7" s="31" t="s">
        <v>79</v>
      </c>
      <c r="K7" s="16" t="s">
        <v>80</v>
      </c>
    </row>
    <row r="8" customFormat="false" ht="15" hidden="false" customHeight="true" outlineLevel="0" collapsed="false">
      <c r="A8" s="21" t="s">
        <v>72</v>
      </c>
      <c r="B8" s="22" t="s">
        <v>81</v>
      </c>
      <c r="C8" s="23" t="s">
        <v>82</v>
      </c>
      <c r="D8" s="24" t="s">
        <v>83</v>
      </c>
      <c r="E8" s="25" t="s">
        <v>84</v>
      </c>
      <c r="F8" s="24" t="s">
        <v>85</v>
      </c>
      <c r="G8" s="26" t="s">
        <v>86</v>
      </c>
      <c r="H8" s="24" t="s">
        <v>87</v>
      </c>
      <c r="I8" s="32" t="n">
        <v>-0.0018</v>
      </c>
      <c r="J8" s="33" t="s">
        <v>79</v>
      </c>
      <c r="K8" s="24" t="s">
        <v>88</v>
      </c>
    </row>
    <row r="9" customFormat="false" ht="15" hidden="false" customHeight="true" outlineLevel="0" collapsed="false">
      <c r="A9" s="13" t="s">
        <v>72</v>
      </c>
      <c r="B9" s="14" t="s">
        <v>89</v>
      </c>
      <c r="C9" s="15" t="s">
        <v>90</v>
      </c>
      <c r="D9" s="16" t="s">
        <v>91</v>
      </c>
      <c r="E9" s="17" t="s">
        <v>92</v>
      </c>
      <c r="F9" s="16" t="s">
        <v>93</v>
      </c>
      <c r="G9" s="18" t="s">
        <v>94</v>
      </c>
      <c r="H9" s="16" t="s">
        <v>95</v>
      </c>
      <c r="I9" s="19" t="n">
        <v>-0.0009</v>
      </c>
      <c r="J9" s="31" t="s">
        <v>79</v>
      </c>
      <c r="K9" s="16" t="s">
        <v>96</v>
      </c>
    </row>
    <row r="10" customFormat="false" ht="15" hidden="false" customHeight="true" outlineLevel="0" collapsed="false">
      <c r="A10" s="21" t="s">
        <v>72</v>
      </c>
      <c r="B10" s="22" t="s">
        <v>97</v>
      </c>
      <c r="C10" s="23" t="s">
        <v>98</v>
      </c>
      <c r="D10" s="24" t="s">
        <v>99</v>
      </c>
      <c r="E10" s="25" t="s">
        <v>100</v>
      </c>
      <c r="F10" s="24" t="s">
        <v>101</v>
      </c>
      <c r="G10" s="26" t="s">
        <v>102</v>
      </c>
      <c r="H10" s="24" t="s">
        <v>103</v>
      </c>
      <c r="I10" s="32" t="n">
        <v>-0.0022</v>
      </c>
      <c r="J10" s="33" t="s">
        <v>79</v>
      </c>
      <c r="K10" s="24" t="s">
        <v>104</v>
      </c>
    </row>
    <row r="11" customFormat="false" ht="15" hidden="false" customHeight="true" outlineLevel="0" collapsed="false">
      <c r="A11" s="13" t="s">
        <v>72</v>
      </c>
      <c r="B11" s="14" t="s">
        <v>105</v>
      </c>
      <c r="C11" s="15" t="s">
        <v>106</v>
      </c>
      <c r="D11" s="16" t="s">
        <v>107</v>
      </c>
      <c r="E11" s="17" t="s">
        <v>108</v>
      </c>
      <c r="F11" s="16" t="s">
        <v>109</v>
      </c>
      <c r="G11" s="18" t="s">
        <v>110</v>
      </c>
      <c r="H11" s="16" t="s">
        <v>111</v>
      </c>
      <c r="I11" s="19" t="n">
        <v>-0.0008</v>
      </c>
      <c r="J11" s="20" t="s">
        <v>45</v>
      </c>
      <c r="K11" s="16" t="s">
        <v>112</v>
      </c>
    </row>
    <row r="12" customFormat="false" ht="15" hidden="false" customHeight="true" outlineLevel="0" collapsed="false">
      <c r="A12" s="21" t="s">
        <v>72</v>
      </c>
      <c r="B12" s="22" t="s">
        <v>113</v>
      </c>
      <c r="C12" s="23" t="s">
        <v>114</v>
      </c>
      <c r="D12" s="24" t="s">
        <v>115</v>
      </c>
      <c r="E12" s="25" t="s">
        <v>116</v>
      </c>
      <c r="F12" s="24" t="s">
        <v>117</v>
      </c>
      <c r="G12" s="26" t="s">
        <v>118</v>
      </c>
      <c r="H12" s="24" t="s">
        <v>119</v>
      </c>
      <c r="I12" s="32" t="n">
        <v>-0.0014</v>
      </c>
      <c r="J12" s="26" t="s">
        <v>120</v>
      </c>
      <c r="K12" s="24" t="s">
        <v>121</v>
      </c>
    </row>
    <row r="13" customFormat="false" ht="15" hidden="false" customHeight="true" outlineLevel="0" collapsed="false">
      <c r="A13" s="13" t="s">
        <v>122</v>
      </c>
      <c r="B13" s="14" t="s">
        <v>123</v>
      </c>
      <c r="C13" s="15" t="s">
        <v>124</v>
      </c>
      <c r="D13" s="16" t="s">
        <v>125</v>
      </c>
      <c r="E13" s="17" t="s">
        <v>126</v>
      </c>
      <c r="F13" s="16" t="s">
        <v>127</v>
      </c>
      <c r="G13" s="18" t="s">
        <v>128</v>
      </c>
      <c r="H13" s="16" t="s">
        <v>129</v>
      </c>
      <c r="I13" s="19" t="n">
        <v>0.0004</v>
      </c>
      <c r="J13" s="31" t="s">
        <v>79</v>
      </c>
      <c r="K13" s="16" t="s">
        <v>130</v>
      </c>
    </row>
    <row r="14" customFormat="false" ht="15" hidden="false" customHeight="true" outlineLevel="0" collapsed="false">
      <c r="A14" s="21" t="s">
        <v>122</v>
      </c>
      <c r="B14" s="22" t="s">
        <v>131</v>
      </c>
      <c r="C14" s="23" t="s">
        <v>132</v>
      </c>
      <c r="D14" s="24" t="s">
        <v>133</v>
      </c>
      <c r="E14" s="25" t="s">
        <v>134</v>
      </c>
      <c r="F14" s="24" t="s">
        <v>135</v>
      </c>
      <c r="G14" s="26" t="s">
        <v>136</v>
      </c>
      <c r="H14" s="24" t="s">
        <v>137</v>
      </c>
      <c r="I14" s="32" t="n">
        <v>-0.0018</v>
      </c>
      <c r="J14" s="33" t="s">
        <v>79</v>
      </c>
      <c r="K14" s="24" t="s">
        <v>138</v>
      </c>
    </row>
    <row r="15" customFormat="false" ht="15" hidden="false" customHeight="true" outlineLevel="0" collapsed="false">
      <c r="A15" s="13" t="s">
        <v>122</v>
      </c>
      <c r="B15" s="14" t="s">
        <v>139</v>
      </c>
      <c r="C15" s="15" t="s">
        <v>140</v>
      </c>
      <c r="D15" s="16" t="s">
        <v>141</v>
      </c>
      <c r="E15" s="17" t="s">
        <v>142</v>
      </c>
      <c r="F15" s="16" t="s">
        <v>143</v>
      </c>
      <c r="G15" s="18" t="s">
        <v>144</v>
      </c>
      <c r="H15" s="16" t="s">
        <v>145</v>
      </c>
      <c r="I15" s="19" t="n">
        <v>-0.0012</v>
      </c>
      <c r="J15" s="31" t="s">
        <v>79</v>
      </c>
      <c r="K15" s="16" t="s">
        <v>146</v>
      </c>
    </row>
    <row r="16" customFormat="false" ht="15" hidden="false" customHeight="true" outlineLevel="0" collapsed="false">
      <c r="A16" s="21" t="s">
        <v>122</v>
      </c>
      <c r="B16" s="22" t="s">
        <v>147</v>
      </c>
      <c r="C16" s="23" t="s">
        <v>148</v>
      </c>
      <c r="D16" s="24" t="s">
        <v>149</v>
      </c>
      <c r="E16" s="25" t="s">
        <v>150</v>
      </c>
      <c r="F16" s="24" t="s">
        <v>151</v>
      </c>
      <c r="G16" s="26" t="s">
        <v>152</v>
      </c>
      <c r="H16" s="24" t="s">
        <v>153</v>
      </c>
      <c r="I16" s="32" t="n">
        <v>0.0001</v>
      </c>
      <c r="J16" s="26" t="s">
        <v>120</v>
      </c>
      <c r="K16" s="24" t="s">
        <v>154</v>
      </c>
    </row>
    <row r="17" customFormat="false" ht="15" hidden="false" customHeight="true" outlineLevel="0" collapsed="false">
      <c r="A17" s="13" t="s">
        <v>155</v>
      </c>
      <c r="B17" s="14" t="s">
        <v>156</v>
      </c>
      <c r="C17" s="15" t="s">
        <v>157</v>
      </c>
      <c r="D17" s="16" t="s">
        <v>158</v>
      </c>
      <c r="E17" s="17" t="s">
        <v>159</v>
      </c>
      <c r="F17" s="16" t="s">
        <v>160</v>
      </c>
      <c r="G17" s="18" t="s">
        <v>161</v>
      </c>
      <c r="H17" s="16" t="s">
        <v>162</v>
      </c>
      <c r="I17" s="19" t="n">
        <v>-0.0028</v>
      </c>
      <c r="J17" s="31" t="s">
        <v>79</v>
      </c>
      <c r="K17" s="16" t="s">
        <v>163</v>
      </c>
    </row>
    <row r="18" customFormat="false" ht="15" hidden="false" customHeight="true" outlineLevel="0" collapsed="false">
      <c r="A18" s="21" t="s">
        <v>155</v>
      </c>
      <c r="B18" s="22" t="s">
        <v>164</v>
      </c>
      <c r="C18" s="23" t="s">
        <v>165</v>
      </c>
      <c r="D18" s="24" t="s">
        <v>166</v>
      </c>
      <c r="E18" s="25" t="s">
        <v>167</v>
      </c>
      <c r="F18" s="24" t="s">
        <v>168</v>
      </c>
      <c r="G18" s="26" t="s">
        <v>169</v>
      </c>
      <c r="H18" s="24" t="s">
        <v>170</v>
      </c>
      <c r="I18" s="32" t="n">
        <v>-0.0014</v>
      </c>
      <c r="J18" s="33" t="s">
        <v>79</v>
      </c>
      <c r="K18" s="24" t="s">
        <v>121</v>
      </c>
    </row>
    <row r="19" customFormat="false" ht="15" hidden="false" customHeight="true" outlineLevel="0" collapsed="false">
      <c r="A19" s="13" t="s">
        <v>155</v>
      </c>
      <c r="B19" s="14" t="s">
        <v>171</v>
      </c>
      <c r="C19" s="15" t="s">
        <v>172</v>
      </c>
      <c r="D19" s="16" t="s">
        <v>173</v>
      </c>
      <c r="E19" s="17" t="s">
        <v>174</v>
      </c>
      <c r="F19" s="16" t="s">
        <v>175</v>
      </c>
      <c r="G19" s="18" t="s">
        <v>176</v>
      </c>
      <c r="H19" s="16" t="s">
        <v>177</v>
      </c>
      <c r="I19" s="19" t="n">
        <v>-0.0022</v>
      </c>
      <c r="J19" s="31" t="s">
        <v>79</v>
      </c>
      <c r="K19" s="16" t="s">
        <v>178</v>
      </c>
    </row>
    <row r="20" customFormat="false" ht="15" hidden="false" customHeight="true" outlineLevel="0" collapsed="false">
      <c r="A20" s="21" t="s">
        <v>155</v>
      </c>
      <c r="B20" s="22" t="s">
        <v>179</v>
      </c>
      <c r="C20" s="23" t="s">
        <v>180</v>
      </c>
      <c r="D20" s="24" t="s">
        <v>181</v>
      </c>
      <c r="E20" s="25" t="s">
        <v>182</v>
      </c>
      <c r="F20" s="24" t="s">
        <v>109</v>
      </c>
      <c r="G20" s="26" t="s">
        <v>183</v>
      </c>
      <c r="H20" s="24" t="s">
        <v>184</v>
      </c>
      <c r="I20" s="32" t="n">
        <v>-0.0048</v>
      </c>
      <c r="J20" s="33" t="s">
        <v>79</v>
      </c>
      <c r="K20" s="24" t="s">
        <v>185</v>
      </c>
    </row>
    <row r="21" customFormat="false" ht="15" hidden="false" customHeight="true" outlineLevel="0" collapsed="false">
      <c r="A21" s="13" t="s">
        <v>155</v>
      </c>
      <c r="B21" s="14" t="s">
        <v>186</v>
      </c>
      <c r="C21" s="15" t="s">
        <v>187</v>
      </c>
      <c r="D21" s="16" t="s">
        <v>188</v>
      </c>
      <c r="E21" s="17" t="s">
        <v>189</v>
      </c>
      <c r="F21" s="16" t="s">
        <v>190</v>
      </c>
      <c r="G21" s="18" t="s">
        <v>191</v>
      </c>
      <c r="H21" s="16" t="s">
        <v>192</v>
      </c>
      <c r="I21" s="19" t="n">
        <v>-0.0008</v>
      </c>
      <c r="J21" s="31" t="s">
        <v>79</v>
      </c>
      <c r="K21" s="16" t="s">
        <v>193</v>
      </c>
    </row>
    <row r="22" customFormat="false" ht="15" hidden="false" customHeight="true" outlineLevel="0" collapsed="false">
      <c r="A22" s="21" t="s">
        <v>155</v>
      </c>
      <c r="B22" s="22" t="s">
        <v>194</v>
      </c>
      <c r="C22" s="23" t="s">
        <v>195</v>
      </c>
      <c r="D22" s="24" t="s">
        <v>196</v>
      </c>
      <c r="E22" s="25" t="s">
        <v>197</v>
      </c>
      <c r="F22" s="24" t="s">
        <v>198</v>
      </c>
      <c r="G22" s="26" t="s">
        <v>199</v>
      </c>
      <c r="H22" s="24" t="s">
        <v>200</v>
      </c>
      <c r="I22" s="27" t="n">
        <v>-0.0214</v>
      </c>
      <c r="J22" s="28" t="s">
        <v>54</v>
      </c>
      <c r="K22" s="24" t="s">
        <v>201</v>
      </c>
    </row>
    <row r="23" customFormat="false" ht="15" hidden="false" customHeight="true" outlineLevel="0" collapsed="false">
      <c r="A23" s="13" t="s">
        <v>202</v>
      </c>
      <c r="B23" s="14" t="s">
        <v>203</v>
      </c>
      <c r="C23" s="15" t="s">
        <v>204</v>
      </c>
      <c r="D23" s="16" t="s">
        <v>205</v>
      </c>
      <c r="E23" s="17" t="s">
        <v>206</v>
      </c>
      <c r="F23" s="16" t="s">
        <v>207</v>
      </c>
      <c r="G23" s="18" t="s">
        <v>208</v>
      </c>
      <c r="H23" s="16" t="s">
        <v>209</v>
      </c>
      <c r="I23" s="19" t="n">
        <v>-0.0048</v>
      </c>
      <c r="J23" s="31" t="s">
        <v>79</v>
      </c>
      <c r="K23" s="16" t="s">
        <v>210</v>
      </c>
    </row>
    <row r="24" customFormat="false" ht="15" hidden="false" customHeight="true" outlineLevel="0" collapsed="false">
      <c r="A24" s="21" t="s">
        <v>202</v>
      </c>
      <c r="B24" s="22" t="s">
        <v>211</v>
      </c>
      <c r="C24" s="23" t="s">
        <v>212</v>
      </c>
      <c r="D24" s="24" t="s">
        <v>213</v>
      </c>
      <c r="E24" s="25" t="s">
        <v>214</v>
      </c>
      <c r="F24" s="24" t="s">
        <v>215</v>
      </c>
      <c r="G24" s="26" t="s">
        <v>216</v>
      </c>
      <c r="H24" s="24" t="s">
        <v>217</v>
      </c>
      <c r="I24" s="27" t="n">
        <v>-0.0182</v>
      </c>
      <c r="J24" s="28" t="s">
        <v>54</v>
      </c>
      <c r="K24" s="24" t="s">
        <v>218</v>
      </c>
    </row>
    <row r="25" customFormat="false" ht="15" hidden="false" customHeight="true" outlineLevel="0" collapsed="false">
      <c r="A25" s="13" t="s">
        <v>202</v>
      </c>
      <c r="B25" s="14" t="s">
        <v>219</v>
      </c>
      <c r="C25" s="15" t="s">
        <v>220</v>
      </c>
      <c r="D25" s="16" t="s">
        <v>221</v>
      </c>
      <c r="E25" s="17" t="s">
        <v>222</v>
      </c>
      <c r="F25" s="16" t="s">
        <v>223</v>
      </c>
      <c r="G25" s="18" t="s">
        <v>224</v>
      </c>
      <c r="H25" s="16" t="s">
        <v>225</v>
      </c>
      <c r="I25" s="19" t="n">
        <v>-0.0042</v>
      </c>
      <c r="J25" s="29" t="s">
        <v>54</v>
      </c>
      <c r="K25" s="16" t="s">
        <v>226</v>
      </c>
    </row>
    <row r="26" customFormat="false" ht="15" hidden="false" customHeight="true" outlineLevel="0" collapsed="false">
      <c r="A26" s="21" t="s">
        <v>202</v>
      </c>
      <c r="B26" s="22" t="s">
        <v>227</v>
      </c>
      <c r="C26" s="23" t="s">
        <v>228</v>
      </c>
      <c r="D26" s="24" t="s">
        <v>229</v>
      </c>
      <c r="E26" s="25" t="s">
        <v>230</v>
      </c>
      <c r="F26" s="24" t="s">
        <v>231</v>
      </c>
      <c r="G26" s="26" t="s">
        <v>232</v>
      </c>
      <c r="H26" s="24" t="s">
        <v>233</v>
      </c>
      <c r="I26" s="32" t="n">
        <v>-0.0028</v>
      </c>
      <c r="J26" s="28" t="s">
        <v>54</v>
      </c>
      <c r="K26" s="24" t="s">
        <v>234</v>
      </c>
    </row>
    <row r="27" customFormat="false" ht="15" hidden="false" customHeight="true" outlineLevel="0" collapsed="false">
      <c r="A27" s="13" t="s">
        <v>202</v>
      </c>
      <c r="B27" s="14" t="s">
        <v>235</v>
      </c>
      <c r="C27" s="15" t="s">
        <v>236</v>
      </c>
      <c r="D27" s="16" t="s">
        <v>237</v>
      </c>
      <c r="E27" s="17" t="s">
        <v>238</v>
      </c>
      <c r="F27" s="16" t="s">
        <v>127</v>
      </c>
      <c r="G27" s="18" t="s">
        <v>239</v>
      </c>
      <c r="H27" s="16" t="s">
        <v>240</v>
      </c>
      <c r="I27" s="34" t="n">
        <v>-0.0058</v>
      </c>
      <c r="J27" s="29" t="s">
        <v>54</v>
      </c>
      <c r="K27" s="16" t="s">
        <v>241</v>
      </c>
    </row>
    <row r="28" customFormat="false" ht="15" hidden="false" customHeight="true" outlineLevel="0" collapsed="false">
      <c r="A28" s="21" t="s">
        <v>202</v>
      </c>
      <c r="B28" s="22" t="s">
        <v>242</v>
      </c>
      <c r="C28" s="23" t="s">
        <v>243</v>
      </c>
      <c r="D28" s="24" t="s">
        <v>244</v>
      </c>
      <c r="E28" s="25" t="s">
        <v>245</v>
      </c>
      <c r="F28" s="24" t="s">
        <v>190</v>
      </c>
      <c r="G28" s="26" t="s">
        <v>246</v>
      </c>
      <c r="H28" s="24" t="s">
        <v>247</v>
      </c>
      <c r="I28" s="32" t="n">
        <v>-0.0008</v>
      </c>
      <c r="J28" s="28" t="s">
        <v>54</v>
      </c>
      <c r="K28" s="24" t="s">
        <v>248</v>
      </c>
    </row>
    <row r="29" customFormat="false" ht="15" hidden="false" customHeight="true" outlineLevel="0" collapsed="false">
      <c r="A29" s="13" t="s">
        <v>202</v>
      </c>
      <c r="B29" s="14" t="s">
        <v>249</v>
      </c>
      <c r="C29" s="15" t="s">
        <v>250</v>
      </c>
      <c r="D29" s="16" t="s">
        <v>251</v>
      </c>
      <c r="E29" s="17" t="s">
        <v>252</v>
      </c>
      <c r="F29" s="16" t="s">
        <v>253</v>
      </c>
      <c r="G29" s="18" t="s">
        <v>254</v>
      </c>
      <c r="H29" s="16" t="s">
        <v>255</v>
      </c>
      <c r="I29" s="19" t="n">
        <v>-0.0018</v>
      </c>
      <c r="J29" s="29" t="s">
        <v>54</v>
      </c>
      <c r="K29" s="16" t="s">
        <v>256</v>
      </c>
    </row>
    <row r="30" customFormat="false" ht="15" hidden="false" customHeight="true" outlineLevel="0" collapsed="false">
      <c r="A30" s="21" t="s">
        <v>257</v>
      </c>
      <c r="B30" s="22" t="s">
        <v>258</v>
      </c>
      <c r="C30" s="23" t="s">
        <v>259</v>
      </c>
      <c r="D30" s="24" t="s">
        <v>260</v>
      </c>
      <c r="E30" s="25" t="s">
        <v>261</v>
      </c>
      <c r="F30" s="24" t="s">
        <v>262</v>
      </c>
      <c r="G30" s="26" t="s">
        <v>263</v>
      </c>
      <c r="H30" s="24" t="s">
        <v>264</v>
      </c>
      <c r="I30" s="32" t="n">
        <v>0</v>
      </c>
      <c r="J30" s="33" t="s">
        <v>79</v>
      </c>
      <c r="K30" s="24" t="s">
        <v>265</v>
      </c>
    </row>
    <row r="31" customFormat="false" ht="15" hidden="false" customHeight="true" outlineLevel="0" collapsed="false">
      <c r="A31" s="13" t="s">
        <v>257</v>
      </c>
      <c r="B31" s="14" t="s">
        <v>266</v>
      </c>
      <c r="C31" s="15" t="s">
        <v>267</v>
      </c>
      <c r="D31" s="16" t="s">
        <v>268</v>
      </c>
      <c r="E31" s="17" t="s">
        <v>269</v>
      </c>
      <c r="F31" s="16" t="s">
        <v>270</v>
      </c>
      <c r="G31" s="18" t="s">
        <v>271</v>
      </c>
      <c r="H31" s="16" t="s">
        <v>272</v>
      </c>
      <c r="I31" s="19" t="n">
        <v>0</v>
      </c>
      <c r="J31" s="31" t="s">
        <v>79</v>
      </c>
      <c r="K31" s="16" t="s">
        <v>273</v>
      </c>
    </row>
    <row r="32" customFormat="false" ht="15" hidden="false" customHeight="true" outlineLevel="0" collapsed="false">
      <c r="A32" s="21" t="s">
        <v>257</v>
      </c>
      <c r="B32" s="22" t="s">
        <v>274</v>
      </c>
      <c r="C32" s="23" t="s">
        <v>275</v>
      </c>
      <c r="D32" s="24" t="s">
        <v>276</v>
      </c>
      <c r="E32" s="25" t="s">
        <v>277</v>
      </c>
      <c r="F32" s="24" t="s">
        <v>278</v>
      </c>
      <c r="G32" s="26" t="s">
        <v>279</v>
      </c>
      <c r="H32" s="24" t="s">
        <v>280</v>
      </c>
      <c r="I32" s="32" t="n">
        <v>0</v>
      </c>
      <c r="J32" s="33" t="s">
        <v>79</v>
      </c>
      <c r="K32" s="24" t="s">
        <v>281</v>
      </c>
    </row>
    <row r="33" customFormat="false" ht="15" hidden="false" customHeight="true" outlineLevel="0" collapsed="false">
      <c r="A33" s="13" t="s">
        <v>257</v>
      </c>
      <c r="B33" s="14" t="s">
        <v>282</v>
      </c>
      <c r="C33" s="15" t="s">
        <v>283</v>
      </c>
      <c r="D33" s="16" t="s">
        <v>284</v>
      </c>
      <c r="E33" s="17" t="s">
        <v>285</v>
      </c>
      <c r="F33" s="16" t="s">
        <v>286</v>
      </c>
      <c r="G33" s="18" t="s">
        <v>287</v>
      </c>
      <c r="H33" s="16" t="s">
        <v>288</v>
      </c>
      <c r="I33" s="34" t="n">
        <v>-0.0084</v>
      </c>
      <c r="J33" s="31" t="s">
        <v>79</v>
      </c>
      <c r="K33" s="16" t="s">
        <v>289</v>
      </c>
    </row>
    <row r="34" customFormat="false" ht="15" hidden="false" customHeight="true" outlineLevel="0" collapsed="false">
      <c r="A34" s="21" t="s">
        <v>257</v>
      </c>
      <c r="B34" s="22" t="s">
        <v>290</v>
      </c>
      <c r="C34" s="23" t="s">
        <v>291</v>
      </c>
      <c r="D34" s="24" t="s">
        <v>292</v>
      </c>
      <c r="E34" s="25" t="s">
        <v>293</v>
      </c>
      <c r="F34" s="24" t="s">
        <v>294</v>
      </c>
      <c r="G34" s="26" t="s">
        <v>295</v>
      </c>
      <c r="H34" s="24" t="s">
        <v>296</v>
      </c>
      <c r="I34" s="30" t="n">
        <v>0.0028</v>
      </c>
      <c r="J34" s="26" t="s">
        <v>120</v>
      </c>
      <c r="K34" s="24" t="s">
        <v>104</v>
      </c>
    </row>
    <row r="35" customFormat="false" ht="15" hidden="false" customHeight="true" outlineLevel="0" collapsed="false">
      <c r="A35" s="13" t="s">
        <v>257</v>
      </c>
      <c r="B35" s="14" t="s">
        <v>297</v>
      </c>
      <c r="C35" s="15" t="s">
        <v>298</v>
      </c>
      <c r="D35" s="16" t="s">
        <v>299</v>
      </c>
      <c r="E35" s="17" t="s">
        <v>300</v>
      </c>
      <c r="F35" s="16" t="s">
        <v>301</v>
      </c>
      <c r="G35" s="18" t="s">
        <v>302</v>
      </c>
      <c r="H35" s="16" t="s">
        <v>303</v>
      </c>
      <c r="I35" s="19" t="n">
        <v>-0.0002</v>
      </c>
      <c r="J35" s="31" t="s">
        <v>79</v>
      </c>
      <c r="K35" s="16" t="s">
        <v>304</v>
      </c>
    </row>
    <row r="36" customFormat="false" ht="15" hidden="false" customHeight="true" outlineLevel="0" collapsed="false">
      <c r="A36" s="21" t="s">
        <v>305</v>
      </c>
      <c r="B36" s="22" t="s">
        <v>306</v>
      </c>
      <c r="C36" s="23" t="s">
        <v>307</v>
      </c>
      <c r="D36" s="24" t="s">
        <v>308</v>
      </c>
      <c r="E36" s="25" t="s">
        <v>309</v>
      </c>
      <c r="F36" s="24" t="s">
        <v>310</v>
      </c>
      <c r="G36" s="26" t="s">
        <v>311</v>
      </c>
      <c r="H36" s="24" t="s">
        <v>312</v>
      </c>
      <c r="I36" s="32" t="n">
        <v>-0.0008</v>
      </c>
      <c r="J36" s="33" t="s">
        <v>79</v>
      </c>
      <c r="K36" s="24" t="s">
        <v>112</v>
      </c>
    </row>
    <row r="37" customFormat="false" ht="15" hidden="false" customHeight="true" outlineLevel="0" collapsed="false">
      <c r="A37" s="13" t="s">
        <v>305</v>
      </c>
      <c r="B37" s="14" t="s">
        <v>313</v>
      </c>
      <c r="C37" s="15" t="s">
        <v>314</v>
      </c>
      <c r="D37" s="16" t="s">
        <v>315</v>
      </c>
      <c r="E37" s="17" t="s">
        <v>316</v>
      </c>
      <c r="F37" s="16" t="s">
        <v>317</v>
      </c>
      <c r="G37" s="18" t="s">
        <v>318</v>
      </c>
      <c r="H37" s="16" t="s">
        <v>319</v>
      </c>
      <c r="I37" s="19" t="n">
        <v>-0.0004</v>
      </c>
      <c r="J37" s="31" t="s">
        <v>79</v>
      </c>
      <c r="K37" s="16" t="s">
        <v>320</v>
      </c>
    </row>
    <row r="38" customFormat="false" ht="15" hidden="false" customHeight="true" outlineLevel="0" collapsed="false">
      <c r="A38" s="21" t="s">
        <v>305</v>
      </c>
      <c r="B38" s="22" t="s">
        <v>321</v>
      </c>
      <c r="C38" s="23" t="s">
        <v>322</v>
      </c>
      <c r="D38" s="24" t="s">
        <v>323</v>
      </c>
      <c r="E38" s="25" t="s">
        <v>324</v>
      </c>
      <c r="F38" s="24" t="s">
        <v>325</v>
      </c>
      <c r="G38" s="26" t="s">
        <v>326</v>
      </c>
      <c r="H38" s="24" t="s">
        <v>327</v>
      </c>
      <c r="I38" s="32" t="n">
        <v>-0.0022</v>
      </c>
      <c r="J38" s="33" t="s">
        <v>79</v>
      </c>
      <c r="K38" s="24" t="s">
        <v>328</v>
      </c>
    </row>
    <row r="39" customFormat="false" ht="15" hidden="false" customHeight="true" outlineLevel="0" collapsed="false">
      <c r="A39" s="13" t="s">
        <v>305</v>
      </c>
      <c r="B39" s="14" t="s">
        <v>329</v>
      </c>
      <c r="C39" s="15" t="s">
        <v>330</v>
      </c>
      <c r="D39" s="16" t="s">
        <v>331</v>
      </c>
      <c r="E39" s="17" t="s">
        <v>332</v>
      </c>
      <c r="F39" s="16" t="s">
        <v>333</v>
      </c>
      <c r="G39" s="18" t="s">
        <v>334</v>
      </c>
      <c r="H39" s="16" t="s">
        <v>162</v>
      </c>
      <c r="I39" s="19" t="n">
        <v>-0.0004</v>
      </c>
      <c r="J39" s="31" t="s">
        <v>79</v>
      </c>
      <c r="K39" s="16" t="s">
        <v>335</v>
      </c>
    </row>
    <row r="40" customFormat="false" ht="15" hidden="false" customHeight="true" outlineLevel="0" collapsed="false">
      <c r="A40" s="21" t="s">
        <v>305</v>
      </c>
      <c r="B40" s="22" t="s">
        <v>336</v>
      </c>
      <c r="C40" s="23" t="s">
        <v>337</v>
      </c>
      <c r="D40" s="24" t="s">
        <v>338</v>
      </c>
      <c r="E40" s="25" t="s">
        <v>339</v>
      </c>
      <c r="F40" s="24" t="s">
        <v>317</v>
      </c>
      <c r="G40" s="26" t="s">
        <v>340</v>
      </c>
      <c r="H40" s="24" t="s">
        <v>341</v>
      </c>
      <c r="I40" s="32" t="n">
        <v>-0.0008</v>
      </c>
      <c r="J40" s="26" t="s">
        <v>120</v>
      </c>
      <c r="K40" s="24" t="s">
        <v>55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9" min="9" style="1" width="14"/>
    <col collapsed="false" customWidth="true" hidden="false" outlineLevel="0" max="11" min="10" style="1" width="12"/>
  </cols>
  <sheetData>
    <row r="1" customFormat="false" ht="15" hidden="false" customHeight="true" outlineLevel="0" collapsed="false">
      <c r="A1" s="35" t="s">
        <v>342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customFormat="false" ht="15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343</v>
      </c>
      <c r="E2" s="12" t="s">
        <v>344</v>
      </c>
      <c r="F2" s="12" t="s">
        <v>345</v>
      </c>
      <c r="G2" s="12" t="s">
        <v>346</v>
      </c>
      <c r="H2" s="12" t="s">
        <v>347</v>
      </c>
      <c r="I2" s="12" t="s">
        <v>348</v>
      </c>
      <c r="J2" s="12" t="s">
        <v>349</v>
      </c>
      <c r="K2" s="12" t="s">
        <v>350</v>
      </c>
    </row>
    <row r="3" customFormat="false" ht="15" hidden="false" customHeight="true" outlineLevel="0" collapsed="false">
      <c r="A3" s="13" t="s">
        <v>37</v>
      </c>
      <c r="B3" s="14" t="s">
        <v>38</v>
      </c>
      <c r="C3" s="16" t="s">
        <v>39</v>
      </c>
      <c r="D3" s="36" t="n">
        <v>0.68</v>
      </c>
      <c r="E3" s="37" t="n">
        <v>-0.42</v>
      </c>
      <c r="F3" s="37" t="n">
        <v>-0.58</v>
      </c>
      <c r="G3" s="38" t="n">
        <v>-0.22</v>
      </c>
      <c r="H3" s="36" t="n">
        <v>0.45</v>
      </c>
      <c r="I3" s="17" t="s">
        <v>351</v>
      </c>
      <c r="J3" s="17" t="s">
        <v>352</v>
      </c>
      <c r="K3" s="17" t="s">
        <v>352</v>
      </c>
    </row>
    <row r="4" customFormat="false" ht="15" hidden="false" customHeight="true" outlineLevel="0" collapsed="false">
      <c r="A4" s="21" t="s">
        <v>37</v>
      </c>
      <c r="B4" s="22" t="s">
        <v>47</v>
      </c>
      <c r="C4" s="24" t="s">
        <v>48</v>
      </c>
      <c r="D4" s="39" t="n">
        <v>0.28</v>
      </c>
      <c r="E4" s="40" t="n">
        <v>-0.55</v>
      </c>
      <c r="F4" s="40" t="n">
        <v>-0.71</v>
      </c>
      <c r="G4" s="39" t="n">
        <v>0.21</v>
      </c>
      <c r="H4" s="39" t="n">
        <v>0.38</v>
      </c>
      <c r="I4" s="25" t="s">
        <v>353</v>
      </c>
      <c r="J4" s="25" t="s">
        <v>352</v>
      </c>
      <c r="K4" s="25" t="s">
        <v>352</v>
      </c>
    </row>
    <row r="5" customFormat="false" ht="15" hidden="false" customHeight="true" outlineLevel="0" collapsed="false">
      <c r="A5" s="13" t="s">
        <v>37</v>
      </c>
      <c r="B5" s="14" t="s">
        <v>56</v>
      </c>
      <c r="C5" s="16" t="s">
        <v>57</v>
      </c>
      <c r="D5" s="41" t="n">
        <v>0.31</v>
      </c>
      <c r="E5" s="38" t="n">
        <v>-0.38</v>
      </c>
      <c r="F5" s="37" t="n">
        <v>-0.48</v>
      </c>
      <c r="G5" s="41" t="n">
        <v>0.12</v>
      </c>
      <c r="H5" s="36" t="n">
        <v>0.42</v>
      </c>
      <c r="I5" s="17" t="s">
        <v>353</v>
      </c>
      <c r="J5" s="17" t="s">
        <v>354</v>
      </c>
      <c r="K5" s="17" t="s">
        <v>352</v>
      </c>
    </row>
    <row r="6" customFormat="false" ht="15" hidden="false" customHeight="true" outlineLevel="0" collapsed="false">
      <c r="A6" s="21" t="s">
        <v>37</v>
      </c>
      <c r="B6" s="22" t="s">
        <v>64</v>
      </c>
      <c r="C6" s="24" t="s">
        <v>65</v>
      </c>
      <c r="D6" s="39" t="n">
        <v>0.22</v>
      </c>
      <c r="E6" s="40" t="n">
        <v>-0.48</v>
      </c>
      <c r="F6" s="40" t="n">
        <v>-0.61</v>
      </c>
      <c r="G6" s="39" t="n">
        <v>0.18</v>
      </c>
      <c r="H6" s="39" t="n">
        <v>0.29</v>
      </c>
      <c r="I6" s="25" t="s">
        <v>353</v>
      </c>
      <c r="J6" s="25" t="s">
        <v>352</v>
      </c>
      <c r="K6" s="25" t="s">
        <v>352</v>
      </c>
    </row>
    <row r="7" customFormat="false" ht="15" hidden="false" customHeight="true" outlineLevel="0" collapsed="false">
      <c r="A7" s="13" t="s">
        <v>72</v>
      </c>
      <c r="B7" s="14" t="s">
        <v>27</v>
      </c>
      <c r="C7" s="16" t="s">
        <v>73</v>
      </c>
      <c r="D7" s="36" t="n">
        <v>0.55</v>
      </c>
      <c r="E7" s="36" t="n">
        <v>0.42</v>
      </c>
      <c r="F7" s="37" t="n">
        <v>-0.52</v>
      </c>
      <c r="G7" s="41" t="n">
        <v>0.18</v>
      </c>
      <c r="H7" s="36" t="n">
        <v>0.58</v>
      </c>
      <c r="I7" s="17" t="s">
        <v>351</v>
      </c>
      <c r="J7" s="17" t="s">
        <v>351</v>
      </c>
      <c r="K7" s="17" t="s">
        <v>352</v>
      </c>
    </row>
    <row r="8" customFormat="false" ht="15" hidden="false" customHeight="true" outlineLevel="0" collapsed="false">
      <c r="A8" s="21" t="s">
        <v>72</v>
      </c>
      <c r="B8" s="22" t="s">
        <v>81</v>
      </c>
      <c r="C8" s="24" t="s">
        <v>82</v>
      </c>
      <c r="D8" s="42" t="n">
        <v>0.58</v>
      </c>
      <c r="E8" s="39" t="n">
        <v>0.35</v>
      </c>
      <c r="F8" s="40" t="n">
        <v>-0.61</v>
      </c>
      <c r="G8" s="39" t="n">
        <v>0.14</v>
      </c>
      <c r="H8" s="42" t="n">
        <v>0.62</v>
      </c>
      <c r="I8" s="25" t="s">
        <v>351</v>
      </c>
      <c r="J8" s="25" t="s">
        <v>353</v>
      </c>
      <c r="K8" s="25" t="s">
        <v>352</v>
      </c>
    </row>
    <row r="9" customFormat="false" ht="15" hidden="false" customHeight="true" outlineLevel="0" collapsed="false">
      <c r="A9" s="13" t="s">
        <v>72</v>
      </c>
      <c r="B9" s="14" t="s">
        <v>89</v>
      </c>
      <c r="C9" s="16" t="s">
        <v>90</v>
      </c>
      <c r="D9" s="36" t="n">
        <v>0.52</v>
      </c>
      <c r="E9" s="38" t="n">
        <v>-0.28</v>
      </c>
      <c r="F9" s="37" t="n">
        <v>-0.55</v>
      </c>
      <c r="G9" s="43" t="n">
        <v>0.08</v>
      </c>
      <c r="H9" s="36" t="n">
        <v>0.55</v>
      </c>
      <c r="I9" s="17" t="s">
        <v>351</v>
      </c>
      <c r="J9" s="17" t="s">
        <v>354</v>
      </c>
      <c r="K9" s="17" t="s">
        <v>352</v>
      </c>
    </row>
    <row r="10" customFormat="false" ht="15" hidden="false" customHeight="true" outlineLevel="0" collapsed="false">
      <c r="A10" s="21" t="s">
        <v>72</v>
      </c>
      <c r="B10" s="22" t="s">
        <v>97</v>
      </c>
      <c r="C10" s="24" t="s">
        <v>98</v>
      </c>
      <c r="D10" s="42" t="n">
        <v>0.51</v>
      </c>
      <c r="E10" s="44" t="n">
        <v>-0.31</v>
      </c>
      <c r="F10" s="40" t="n">
        <v>-0.62</v>
      </c>
      <c r="G10" s="39" t="n">
        <v>0.11</v>
      </c>
      <c r="H10" s="42" t="n">
        <v>0.44</v>
      </c>
      <c r="I10" s="25" t="s">
        <v>351</v>
      </c>
      <c r="J10" s="25" t="s">
        <v>354</v>
      </c>
      <c r="K10" s="25" t="s">
        <v>352</v>
      </c>
    </row>
    <row r="11" customFormat="false" ht="15" hidden="false" customHeight="true" outlineLevel="0" collapsed="false">
      <c r="A11" s="13" t="s">
        <v>72</v>
      </c>
      <c r="B11" s="14" t="s">
        <v>105</v>
      </c>
      <c r="C11" s="16" t="s">
        <v>106</v>
      </c>
      <c r="D11" s="36" t="n">
        <v>0.44</v>
      </c>
      <c r="E11" s="38" t="n">
        <v>-0.18</v>
      </c>
      <c r="F11" s="37" t="n">
        <v>-0.51</v>
      </c>
      <c r="G11" s="41" t="n">
        <v>0.22</v>
      </c>
      <c r="H11" s="36" t="n">
        <v>0.52</v>
      </c>
      <c r="I11" s="17" t="s">
        <v>351</v>
      </c>
      <c r="J11" s="17" t="s">
        <v>354</v>
      </c>
      <c r="K11" s="17" t="s">
        <v>352</v>
      </c>
    </row>
    <row r="12" customFormat="false" ht="15" hidden="false" customHeight="true" outlineLevel="0" collapsed="false">
      <c r="A12" s="21" t="s">
        <v>72</v>
      </c>
      <c r="B12" s="22" t="s">
        <v>113</v>
      </c>
      <c r="C12" s="24" t="s">
        <v>114</v>
      </c>
      <c r="D12" s="42" t="n">
        <v>0.61</v>
      </c>
      <c r="E12" s="39" t="n">
        <v>0.38</v>
      </c>
      <c r="F12" s="40" t="n">
        <v>-0.52</v>
      </c>
      <c r="G12" s="39" t="n">
        <v>0.18</v>
      </c>
      <c r="H12" s="42" t="n">
        <v>0.58</v>
      </c>
      <c r="I12" s="25" t="s">
        <v>351</v>
      </c>
      <c r="J12" s="25" t="s">
        <v>353</v>
      </c>
      <c r="K12" s="25" t="s">
        <v>352</v>
      </c>
    </row>
    <row r="13" customFormat="false" ht="15" hidden="false" customHeight="true" outlineLevel="0" collapsed="false">
      <c r="A13" s="13" t="s">
        <v>122</v>
      </c>
      <c r="B13" s="14" t="s">
        <v>123</v>
      </c>
      <c r="C13" s="16" t="s">
        <v>124</v>
      </c>
      <c r="D13" s="36" t="n">
        <v>0.54</v>
      </c>
      <c r="E13" s="41" t="n">
        <v>0.12</v>
      </c>
      <c r="F13" s="37" t="n">
        <v>-0.41</v>
      </c>
      <c r="G13" s="43" t="n">
        <v>0.05</v>
      </c>
      <c r="H13" s="45" t="n">
        <v>1</v>
      </c>
      <c r="I13" s="17" t="s">
        <v>351</v>
      </c>
      <c r="J13" s="17" t="s">
        <v>353</v>
      </c>
      <c r="K13" s="17" t="s">
        <v>352</v>
      </c>
    </row>
    <row r="14" customFormat="false" ht="15" hidden="false" customHeight="true" outlineLevel="0" collapsed="false">
      <c r="A14" s="21" t="s">
        <v>122</v>
      </c>
      <c r="B14" s="22" t="s">
        <v>131</v>
      </c>
      <c r="C14" s="24" t="s">
        <v>132</v>
      </c>
      <c r="D14" s="46" t="n">
        <v>0.72</v>
      </c>
      <c r="E14" s="44" t="n">
        <v>-0.22</v>
      </c>
      <c r="F14" s="40" t="n">
        <v>-0.68</v>
      </c>
      <c r="G14" s="44" t="n">
        <v>-0.12</v>
      </c>
      <c r="H14" s="42" t="n">
        <v>0.62</v>
      </c>
      <c r="I14" s="25" t="s">
        <v>355</v>
      </c>
      <c r="J14" s="25" t="s">
        <v>354</v>
      </c>
      <c r="K14" s="25" t="s">
        <v>352</v>
      </c>
    </row>
    <row r="15" customFormat="false" ht="15" hidden="false" customHeight="true" outlineLevel="0" collapsed="false">
      <c r="A15" s="13" t="s">
        <v>122</v>
      </c>
      <c r="B15" s="14" t="s">
        <v>139</v>
      </c>
      <c r="C15" s="16" t="s">
        <v>140</v>
      </c>
      <c r="D15" s="45" t="n">
        <v>0.76</v>
      </c>
      <c r="E15" s="38" t="n">
        <v>-0.18</v>
      </c>
      <c r="F15" s="37" t="n">
        <v>-0.72</v>
      </c>
      <c r="G15" s="38" t="n">
        <v>-0.15</v>
      </c>
      <c r="H15" s="36" t="n">
        <v>0.48</v>
      </c>
      <c r="I15" s="17" t="s">
        <v>355</v>
      </c>
      <c r="J15" s="17" t="s">
        <v>354</v>
      </c>
      <c r="K15" s="17" t="s">
        <v>352</v>
      </c>
    </row>
    <row r="16" customFormat="false" ht="15" hidden="false" customHeight="true" outlineLevel="0" collapsed="false">
      <c r="A16" s="21" t="s">
        <v>122</v>
      </c>
      <c r="B16" s="22" t="s">
        <v>147</v>
      </c>
      <c r="C16" s="24" t="s">
        <v>148</v>
      </c>
      <c r="D16" s="42" t="n">
        <v>0.62</v>
      </c>
      <c r="E16" s="47" t="n">
        <v>-0.08</v>
      </c>
      <c r="F16" s="44" t="n">
        <v>-0.18</v>
      </c>
      <c r="G16" s="47" t="n">
        <v>-0.04</v>
      </c>
      <c r="H16" s="46" t="n">
        <v>0.78</v>
      </c>
      <c r="I16" s="25" t="s">
        <v>351</v>
      </c>
      <c r="J16" s="25" t="s">
        <v>356</v>
      </c>
      <c r="K16" s="25" t="s">
        <v>354</v>
      </c>
    </row>
    <row r="17" customFormat="false" ht="15" hidden="false" customHeight="true" outlineLevel="0" collapsed="false">
      <c r="A17" s="13" t="s">
        <v>155</v>
      </c>
      <c r="B17" s="14" t="s">
        <v>156</v>
      </c>
      <c r="C17" s="16" t="s">
        <v>157</v>
      </c>
      <c r="D17" s="36" t="n">
        <v>0.58</v>
      </c>
      <c r="E17" s="36" t="n">
        <v>0.52</v>
      </c>
      <c r="F17" s="37" t="n">
        <v>-0.71</v>
      </c>
      <c r="G17" s="41" t="n">
        <v>0.32</v>
      </c>
      <c r="H17" s="36" t="n">
        <v>0.55</v>
      </c>
      <c r="I17" s="17" t="s">
        <v>351</v>
      </c>
      <c r="J17" s="17" t="s">
        <v>351</v>
      </c>
      <c r="K17" s="17" t="s">
        <v>352</v>
      </c>
    </row>
    <row r="18" customFormat="false" ht="15" hidden="false" customHeight="true" outlineLevel="0" collapsed="false">
      <c r="A18" s="21" t="s">
        <v>155</v>
      </c>
      <c r="B18" s="22" t="s">
        <v>164</v>
      </c>
      <c r="C18" s="24" t="s">
        <v>165</v>
      </c>
      <c r="D18" s="42" t="n">
        <v>0.68</v>
      </c>
      <c r="E18" s="42" t="n">
        <v>0.42</v>
      </c>
      <c r="F18" s="40" t="n">
        <v>-0.74</v>
      </c>
      <c r="G18" s="39" t="n">
        <v>0.15</v>
      </c>
      <c r="H18" s="39" t="n">
        <v>0.31</v>
      </c>
      <c r="I18" s="25" t="s">
        <v>351</v>
      </c>
      <c r="J18" s="25" t="s">
        <v>351</v>
      </c>
      <c r="K18" s="25" t="s">
        <v>352</v>
      </c>
    </row>
    <row r="19" customFormat="false" ht="15" hidden="false" customHeight="true" outlineLevel="0" collapsed="false">
      <c r="A19" s="13" t="s">
        <v>155</v>
      </c>
      <c r="B19" s="14" t="s">
        <v>171</v>
      </c>
      <c r="C19" s="16" t="s">
        <v>172</v>
      </c>
      <c r="D19" s="36" t="n">
        <v>0.52</v>
      </c>
      <c r="E19" s="41" t="n">
        <v>0.18</v>
      </c>
      <c r="F19" s="37" t="n">
        <v>-0.65</v>
      </c>
      <c r="G19" s="41" t="n">
        <v>0.28</v>
      </c>
      <c r="H19" s="45" t="n">
        <v>0.71</v>
      </c>
      <c r="I19" s="17" t="s">
        <v>351</v>
      </c>
      <c r="J19" s="17" t="s">
        <v>353</v>
      </c>
      <c r="K19" s="17" t="s">
        <v>352</v>
      </c>
    </row>
    <row r="20" customFormat="false" ht="15" hidden="false" customHeight="true" outlineLevel="0" collapsed="false">
      <c r="A20" s="21" t="s">
        <v>155</v>
      </c>
      <c r="B20" s="22" t="s">
        <v>179</v>
      </c>
      <c r="C20" s="24" t="s">
        <v>180</v>
      </c>
      <c r="D20" s="42" t="n">
        <v>0.44</v>
      </c>
      <c r="E20" s="42" t="n">
        <v>0.68</v>
      </c>
      <c r="F20" s="40" t="n">
        <v>-0.72</v>
      </c>
      <c r="G20" s="39" t="n">
        <v>0.22</v>
      </c>
      <c r="H20" s="39" t="n">
        <v>0.28</v>
      </c>
      <c r="I20" s="25" t="s">
        <v>351</v>
      </c>
      <c r="J20" s="25" t="s">
        <v>351</v>
      </c>
      <c r="K20" s="25" t="s">
        <v>352</v>
      </c>
    </row>
    <row r="21" customFormat="false" ht="15" hidden="false" customHeight="true" outlineLevel="0" collapsed="false">
      <c r="A21" s="13" t="s">
        <v>155</v>
      </c>
      <c r="B21" s="14" t="s">
        <v>186</v>
      </c>
      <c r="C21" s="16" t="s">
        <v>187</v>
      </c>
      <c r="D21" s="36" t="n">
        <v>0.48</v>
      </c>
      <c r="E21" s="41" t="n">
        <v>0.28</v>
      </c>
      <c r="F21" s="37" t="n">
        <v>-0.62</v>
      </c>
      <c r="G21" s="36" t="n">
        <v>0.58</v>
      </c>
      <c r="H21" s="36" t="n">
        <v>0.61</v>
      </c>
      <c r="I21" s="17" t="s">
        <v>351</v>
      </c>
      <c r="J21" s="17" t="s">
        <v>353</v>
      </c>
      <c r="K21" s="17" t="s">
        <v>352</v>
      </c>
    </row>
    <row r="22" customFormat="false" ht="15" hidden="false" customHeight="true" outlineLevel="0" collapsed="false">
      <c r="A22" s="21" t="s">
        <v>155</v>
      </c>
      <c r="B22" s="22" t="s">
        <v>194</v>
      </c>
      <c r="C22" s="24" t="s">
        <v>195</v>
      </c>
      <c r="D22" s="39" t="n">
        <v>0.22</v>
      </c>
      <c r="E22" s="39" t="n">
        <v>0.18</v>
      </c>
      <c r="F22" s="40" t="n">
        <v>-0.85</v>
      </c>
      <c r="G22" s="42" t="n">
        <v>0.42</v>
      </c>
      <c r="H22" s="39" t="n">
        <v>0.18</v>
      </c>
      <c r="I22" s="25" t="s">
        <v>353</v>
      </c>
      <c r="J22" s="25" t="s">
        <v>353</v>
      </c>
      <c r="K22" s="25" t="s">
        <v>352</v>
      </c>
    </row>
    <row r="23" customFormat="false" ht="15" hidden="false" customHeight="true" outlineLevel="0" collapsed="false">
      <c r="A23" s="13" t="s">
        <v>202</v>
      </c>
      <c r="B23" s="14" t="s">
        <v>203</v>
      </c>
      <c r="C23" s="16" t="s">
        <v>204</v>
      </c>
      <c r="D23" s="36" t="n">
        <v>0.55</v>
      </c>
      <c r="E23" s="36" t="n">
        <v>0.42</v>
      </c>
      <c r="F23" s="37" t="n">
        <v>-0.72</v>
      </c>
      <c r="G23" s="36" t="n">
        <v>0.65</v>
      </c>
      <c r="H23" s="36" t="n">
        <v>0.44</v>
      </c>
      <c r="I23" s="17" t="s">
        <v>351</v>
      </c>
      <c r="J23" s="17" t="s">
        <v>351</v>
      </c>
      <c r="K23" s="17" t="s">
        <v>352</v>
      </c>
    </row>
    <row r="24" customFormat="false" ht="15" hidden="false" customHeight="true" outlineLevel="0" collapsed="false">
      <c r="A24" s="21" t="s">
        <v>202</v>
      </c>
      <c r="B24" s="22" t="s">
        <v>211</v>
      </c>
      <c r="C24" s="24" t="s">
        <v>212</v>
      </c>
      <c r="D24" s="39" t="n">
        <v>0.28</v>
      </c>
      <c r="E24" s="46" t="n">
        <v>0.82</v>
      </c>
      <c r="F24" s="40" t="n">
        <v>-0.68</v>
      </c>
      <c r="G24" s="39" t="n">
        <v>0.12</v>
      </c>
      <c r="H24" s="39" t="n">
        <v>0.22</v>
      </c>
      <c r="I24" s="25" t="s">
        <v>353</v>
      </c>
      <c r="J24" s="25" t="s">
        <v>355</v>
      </c>
      <c r="K24" s="25" t="s">
        <v>352</v>
      </c>
    </row>
    <row r="25" customFormat="false" ht="15" hidden="false" customHeight="true" outlineLevel="0" collapsed="false">
      <c r="A25" s="13" t="s">
        <v>202</v>
      </c>
      <c r="B25" s="14" t="s">
        <v>219</v>
      </c>
      <c r="C25" s="16" t="s">
        <v>220</v>
      </c>
      <c r="D25" s="41" t="n">
        <v>0.31</v>
      </c>
      <c r="E25" s="41" t="n">
        <v>0.38</v>
      </c>
      <c r="F25" s="37" t="n">
        <v>-0.71</v>
      </c>
      <c r="G25" s="41" t="n">
        <v>0.28</v>
      </c>
      <c r="H25" s="41" t="n">
        <v>0.28</v>
      </c>
      <c r="I25" s="17" t="s">
        <v>353</v>
      </c>
      <c r="J25" s="17" t="s">
        <v>353</v>
      </c>
      <c r="K25" s="17" t="s">
        <v>352</v>
      </c>
    </row>
    <row r="26" customFormat="false" ht="15" hidden="false" customHeight="true" outlineLevel="0" collapsed="false">
      <c r="A26" s="21" t="s">
        <v>202</v>
      </c>
      <c r="B26" s="22" t="s">
        <v>227</v>
      </c>
      <c r="C26" s="24" t="s">
        <v>228</v>
      </c>
      <c r="D26" s="39" t="n">
        <v>0.24</v>
      </c>
      <c r="E26" s="44" t="n">
        <v>-0.28</v>
      </c>
      <c r="F26" s="40" t="n">
        <v>-0.58</v>
      </c>
      <c r="G26" s="39" t="n">
        <v>0.18</v>
      </c>
      <c r="H26" s="39" t="n">
        <v>0.32</v>
      </c>
      <c r="I26" s="25" t="s">
        <v>353</v>
      </c>
      <c r="J26" s="25" t="s">
        <v>354</v>
      </c>
      <c r="K26" s="25" t="s">
        <v>352</v>
      </c>
    </row>
    <row r="27" customFormat="false" ht="15" hidden="false" customHeight="true" outlineLevel="0" collapsed="false">
      <c r="A27" s="13" t="s">
        <v>202</v>
      </c>
      <c r="B27" s="14" t="s">
        <v>235</v>
      </c>
      <c r="C27" s="16" t="s">
        <v>236</v>
      </c>
      <c r="D27" s="41" t="n">
        <v>0.21</v>
      </c>
      <c r="E27" s="41" t="n">
        <v>0.28</v>
      </c>
      <c r="F27" s="37" t="n">
        <v>-0.72</v>
      </c>
      <c r="G27" s="36" t="n">
        <v>0.58</v>
      </c>
      <c r="H27" s="41" t="n">
        <v>0.18</v>
      </c>
      <c r="I27" s="17" t="s">
        <v>353</v>
      </c>
      <c r="J27" s="17" t="s">
        <v>353</v>
      </c>
      <c r="K27" s="17" t="s">
        <v>352</v>
      </c>
    </row>
    <row r="28" customFormat="false" ht="15" hidden="false" customHeight="true" outlineLevel="0" collapsed="false">
      <c r="A28" s="21" t="s">
        <v>202</v>
      </c>
      <c r="B28" s="22" t="s">
        <v>242</v>
      </c>
      <c r="C28" s="24" t="s">
        <v>243</v>
      </c>
      <c r="D28" s="39" t="n">
        <v>0.34</v>
      </c>
      <c r="E28" s="44" t="n">
        <v>-0.28</v>
      </c>
      <c r="F28" s="40" t="n">
        <v>-0.48</v>
      </c>
      <c r="G28" s="39" t="n">
        <v>0.18</v>
      </c>
      <c r="H28" s="39" t="n">
        <v>0.24</v>
      </c>
      <c r="I28" s="25" t="s">
        <v>353</v>
      </c>
      <c r="J28" s="25" t="s">
        <v>354</v>
      </c>
      <c r="K28" s="25" t="s">
        <v>352</v>
      </c>
    </row>
    <row r="29" customFormat="false" ht="15" hidden="false" customHeight="true" outlineLevel="0" collapsed="false">
      <c r="A29" s="13" t="s">
        <v>202</v>
      </c>
      <c r="B29" s="14" t="s">
        <v>249</v>
      </c>
      <c r="C29" s="16" t="s">
        <v>250</v>
      </c>
      <c r="D29" s="41" t="n">
        <v>0.18</v>
      </c>
      <c r="E29" s="38" t="n">
        <v>-0.12</v>
      </c>
      <c r="F29" s="37" t="n">
        <v>-0.42</v>
      </c>
      <c r="G29" s="36" t="n">
        <v>0.42</v>
      </c>
      <c r="H29" s="41" t="n">
        <v>0.28</v>
      </c>
      <c r="I29" s="17" t="s">
        <v>353</v>
      </c>
      <c r="J29" s="17" t="s">
        <v>354</v>
      </c>
      <c r="K29" s="17" t="s">
        <v>352</v>
      </c>
    </row>
    <row r="30" customFormat="false" ht="15" hidden="false" customHeight="true" outlineLevel="0" collapsed="false">
      <c r="A30" s="21" t="s">
        <v>257</v>
      </c>
      <c r="B30" s="22" t="s">
        <v>258</v>
      </c>
      <c r="C30" s="24" t="s">
        <v>259</v>
      </c>
      <c r="D30" s="42" t="n">
        <v>0.48</v>
      </c>
      <c r="E30" s="46" t="n">
        <v>0.82</v>
      </c>
      <c r="F30" s="44" t="n">
        <v>-0.24</v>
      </c>
      <c r="G30" s="39" t="n">
        <v>0.28</v>
      </c>
      <c r="H30" s="42" t="n">
        <v>0.42</v>
      </c>
      <c r="I30" s="25" t="s">
        <v>351</v>
      </c>
      <c r="J30" s="25" t="s">
        <v>355</v>
      </c>
      <c r="K30" s="25" t="s">
        <v>354</v>
      </c>
    </row>
    <row r="31" customFormat="false" ht="15" hidden="false" customHeight="true" outlineLevel="0" collapsed="false">
      <c r="A31" s="13" t="s">
        <v>257</v>
      </c>
      <c r="B31" s="14" t="s">
        <v>266</v>
      </c>
      <c r="C31" s="16" t="s">
        <v>267</v>
      </c>
      <c r="D31" s="36" t="n">
        <v>0.44</v>
      </c>
      <c r="E31" s="36" t="n">
        <v>0.68</v>
      </c>
      <c r="F31" s="38" t="n">
        <v>-0.18</v>
      </c>
      <c r="G31" s="41" t="n">
        <v>0.32</v>
      </c>
      <c r="H31" s="41" t="n">
        <v>0.38</v>
      </c>
      <c r="I31" s="17" t="s">
        <v>351</v>
      </c>
      <c r="J31" s="17" t="s">
        <v>351</v>
      </c>
      <c r="K31" s="17" t="s">
        <v>354</v>
      </c>
    </row>
    <row r="32" customFormat="false" ht="15" hidden="false" customHeight="true" outlineLevel="0" collapsed="false">
      <c r="A32" s="21" t="s">
        <v>257</v>
      </c>
      <c r="B32" s="22" t="s">
        <v>274</v>
      </c>
      <c r="C32" s="24" t="s">
        <v>275</v>
      </c>
      <c r="D32" s="39" t="n">
        <v>0.38</v>
      </c>
      <c r="E32" s="46" t="n">
        <v>0.72</v>
      </c>
      <c r="F32" s="44" t="n">
        <v>-0.18</v>
      </c>
      <c r="G32" s="39" t="n">
        <v>0.18</v>
      </c>
      <c r="H32" s="42" t="n">
        <v>0.44</v>
      </c>
      <c r="I32" s="25" t="s">
        <v>353</v>
      </c>
      <c r="J32" s="25" t="s">
        <v>355</v>
      </c>
      <c r="K32" s="25" t="s">
        <v>354</v>
      </c>
    </row>
    <row r="33" customFormat="false" ht="15" hidden="false" customHeight="true" outlineLevel="0" collapsed="false">
      <c r="A33" s="13" t="s">
        <v>257</v>
      </c>
      <c r="B33" s="14" t="s">
        <v>282</v>
      </c>
      <c r="C33" s="16" t="s">
        <v>283</v>
      </c>
      <c r="D33" s="36" t="n">
        <v>0.41</v>
      </c>
      <c r="E33" s="38" t="n">
        <v>-0.18</v>
      </c>
      <c r="F33" s="37" t="n">
        <v>-0.82</v>
      </c>
      <c r="G33" s="36" t="n">
        <v>0.52</v>
      </c>
      <c r="H33" s="41" t="n">
        <v>0.28</v>
      </c>
      <c r="I33" s="17" t="s">
        <v>351</v>
      </c>
      <c r="J33" s="17" t="s">
        <v>354</v>
      </c>
      <c r="K33" s="17" t="s">
        <v>352</v>
      </c>
    </row>
    <row r="34" customFormat="false" ht="15" hidden="false" customHeight="true" outlineLevel="0" collapsed="false">
      <c r="A34" s="21" t="s">
        <v>257</v>
      </c>
      <c r="B34" s="22" t="s">
        <v>290</v>
      </c>
      <c r="C34" s="24" t="s">
        <v>291</v>
      </c>
      <c r="D34" s="42" t="n">
        <v>0.55</v>
      </c>
      <c r="E34" s="44" t="n">
        <v>-0.12</v>
      </c>
      <c r="F34" s="40" t="n">
        <v>-0.48</v>
      </c>
      <c r="G34" s="39" t="n">
        <v>0.28</v>
      </c>
      <c r="H34" s="39" t="n">
        <v>0.22</v>
      </c>
      <c r="I34" s="25" t="s">
        <v>351</v>
      </c>
      <c r="J34" s="25" t="s">
        <v>354</v>
      </c>
      <c r="K34" s="25" t="s">
        <v>352</v>
      </c>
    </row>
    <row r="35" customFormat="false" ht="15" hidden="false" customHeight="true" outlineLevel="0" collapsed="false">
      <c r="A35" s="13" t="s">
        <v>257</v>
      </c>
      <c r="B35" s="14" t="s">
        <v>297</v>
      </c>
      <c r="C35" s="16" t="s">
        <v>298</v>
      </c>
      <c r="D35" s="41" t="n">
        <v>0.38</v>
      </c>
      <c r="E35" s="45" t="n">
        <v>0.78</v>
      </c>
      <c r="F35" s="38" t="n">
        <v>-0.18</v>
      </c>
      <c r="G35" s="41" t="n">
        <v>0.12</v>
      </c>
      <c r="H35" s="41" t="n">
        <v>0.38</v>
      </c>
      <c r="I35" s="17" t="s">
        <v>353</v>
      </c>
      <c r="J35" s="17" t="s">
        <v>355</v>
      </c>
      <c r="K35" s="17" t="s">
        <v>354</v>
      </c>
    </row>
    <row r="36" customFormat="false" ht="15" hidden="false" customHeight="true" outlineLevel="0" collapsed="false">
      <c r="A36" s="21" t="s">
        <v>305</v>
      </c>
      <c r="B36" s="22" t="s">
        <v>306</v>
      </c>
      <c r="C36" s="24" t="s">
        <v>307</v>
      </c>
      <c r="D36" s="42" t="n">
        <v>0.62</v>
      </c>
      <c r="E36" s="44" t="n">
        <v>-0.18</v>
      </c>
      <c r="F36" s="40" t="n">
        <v>-0.68</v>
      </c>
      <c r="G36" s="39" t="n">
        <v>0.12</v>
      </c>
      <c r="H36" s="39" t="n">
        <v>0.38</v>
      </c>
      <c r="I36" s="25" t="s">
        <v>351</v>
      </c>
      <c r="J36" s="25" t="s">
        <v>354</v>
      </c>
      <c r="K36" s="25" t="s">
        <v>352</v>
      </c>
    </row>
    <row r="37" customFormat="false" ht="15" hidden="false" customHeight="true" outlineLevel="0" collapsed="false">
      <c r="A37" s="13" t="s">
        <v>305</v>
      </c>
      <c r="B37" s="14" t="s">
        <v>313</v>
      </c>
      <c r="C37" s="16" t="s">
        <v>314</v>
      </c>
      <c r="D37" s="36" t="n">
        <v>0.58</v>
      </c>
      <c r="E37" s="38" t="n">
        <v>-0.14</v>
      </c>
      <c r="F37" s="37" t="n">
        <v>-0.64</v>
      </c>
      <c r="G37" s="43" t="n">
        <v>0.08</v>
      </c>
      <c r="H37" s="41" t="n">
        <v>0.32</v>
      </c>
      <c r="I37" s="17" t="s">
        <v>351</v>
      </c>
      <c r="J37" s="17" t="s">
        <v>354</v>
      </c>
      <c r="K37" s="17" t="s">
        <v>352</v>
      </c>
    </row>
    <row r="38" customFormat="false" ht="15" hidden="false" customHeight="true" outlineLevel="0" collapsed="false">
      <c r="A38" s="21" t="s">
        <v>305</v>
      </c>
      <c r="B38" s="22" t="s">
        <v>321</v>
      </c>
      <c r="C38" s="24" t="s">
        <v>322</v>
      </c>
      <c r="D38" s="42" t="n">
        <v>0.54</v>
      </c>
      <c r="E38" s="44" t="n">
        <v>-0.22</v>
      </c>
      <c r="F38" s="40" t="n">
        <v>-0.72</v>
      </c>
      <c r="G38" s="39" t="n">
        <v>0.18</v>
      </c>
      <c r="H38" s="39" t="n">
        <v>0.28</v>
      </c>
      <c r="I38" s="25" t="s">
        <v>351</v>
      </c>
      <c r="J38" s="25" t="s">
        <v>354</v>
      </c>
      <c r="K38" s="25" t="s">
        <v>352</v>
      </c>
    </row>
    <row r="39" customFormat="false" ht="15" hidden="false" customHeight="true" outlineLevel="0" collapsed="false">
      <c r="A39" s="13" t="s">
        <v>305</v>
      </c>
      <c r="B39" s="14" t="s">
        <v>329</v>
      </c>
      <c r="C39" s="16" t="s">
        <v>330</v>
      </c>
      <c r="D39" s="36" t="n">
        <v>0.52</v>
      </c>
      <c r="E39" s="38" t="n">
        <v>-0.18</v>
      </c>
      <c r="F39" s="37" t="n">
        <v>-0.62</v>
      </c>
      <c r="G39" s="41" t="n">
        <v>0.14</v>
      </c>
      <c r="H39" s="41" t="n">
        <v>0.24</v>
      </c>
      <c r="I39" s="17" t="s">
        <v>351</v>
      </c>
      <c r="J39" s="17" t="s">
        <v>354</v>
      </c>
      <c r="K39" s="17" t="s">
        <v>352</v>
      </c>
    </row>
    <row r="40" customFormat="false" ht="15" hidden="false" customHeight="true" outlineLevel="0" collapsed="false">
      <c r="A40" s="21" t="s">
        <v>305</v>
      </c>
      <c r="B40" s="22" t="s">
        <v>336</v>
      </c>
      <c r="C40" s="24" t="s">
        <v>337</v>
      </c>
      <c r="D40" s="42" t="n">
        <v>0.61</v>
      </c>
      <c r="E40" s="44" t="n">
        <v>-0.22</v>
      </c>
      <c r="F40" s="40" t="n">
        <v>-0.78</v>
      </c>
      <c r="G40" s="39" t="n">
        <v>0.18</v>
      </c>
      <c r="H40" s="39" t="n">
        <v>0.28</v>
      </c>
      <c r="I40" s="25" t="s">
        <v>351</v>
      </c>
      <c r="J40" s="25" t="s">
        <v>354</v>
      </c>
      <c r="K40" s="25" t="s">
        <v>352</v>
      </c>
    </row>
  </sheetData>
  <mergeCells count="1">
    <mergeCell ref="A1:K1"/>
  </mergeCells>
  <conditionalFormatting sqref="D3:D40">
    <cfRule type="colorScale" priority="2">
      <colorScale>
        <cfvo type="num" val="-1"/>
        <cfvo type="num" val="0"/>
        <cfvo type="num" val="1"/>
        <color rgb="FF3B82F6"/>
        <color rgb="FF1E2A3D"/>
        <color rgb="FFEF4444"/>
      </colorScale>
    </cfRule>
  </conditionalFormatting>
  <conditionalFormatting sqref="E3:E40">
    <cfRule type="colorScale" priority="3">
      <colorScale>
        <cfvo type="num" val="-1"/>
        <cfvo type="num" val="0"/>
        <cfvo type="num" val="1"/>
        <color rgb="FF3B82F6"/>
        <color rgb="FF1E2A3D"/>
        <color rgb="FFEF4444"/>
      </colorScale>
    </cfRule>
  </conditionalFormatting>
  <conditionalFormatting sqref="F3:F40">
    <cfRule type="colorScale" priority="4">
      <colorScale>
        <cfvo type="num" val="-1"/>
        <cfvo type="num" val="0"/>
        <cfvo type="num" val="1"/>
        <color rgb="FF3B82F6"/>
        <color rgb="FF1E2A3D"/>
        <color rgb="FFEF4444"/>
      </colorScale>
    </cfRule>
  </conditionalFormatting>
  <conditionalFormatting sqref="G3:G40">
    <cfRule type="colorScale" priority="5">
      <colorScale>
        <cfvo type="num" val="-1"/>
        <cfvo type="num" val="0"/>
        <cfvo type="num" val="1"/>
        <color rgb="FF3B82F6"/>
        <color rgb="FF1E2A3D"/>
        <color rgb="FFEF4444"/>
      </colorScale>
    </cfRule>
  </conditionalFormatting>
  <conditionalFormatting sqref="H3:H40">
    <cfRule type="colorScale" priority="6">
      <colorScale>
        <cfvo type="num" val="-1"/>
        <cfvo type="num" val="0"/>
        <cfvo type="num" val="1"/>
        <color rgb="FF3B82F6"/>
        <color rgb="FF1E2A3D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20"/>
  </cols>
  <sheetData>
    <row r="1" customFormat="false" ht="15" hidden="false" customHeight="true" outlineLevel="0" collapsed="false">
      <c r="A1" s="35" t="s">
        <v>357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customFormat="false" ht="15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358</v>
      </c>
      <c r="E2" s="12" t="s">
        <v>359</v>
      </c>
      <c r="F2" s="12" t="s">
        <v>360</v>
      </c>
      <c r="G2" s="12" t="s">
        <v>361</v>
      </c>
      <c r="H2" s="12" t="s">
        <v>362</v>
      </c>
      <c r="I2" s="12" t="s">
        <v>363</v>
      </c>
      <c r="J2" s="12" t="s">
        <v>364</v>
      </c>
      <c r="K2" s="12" t="s">
        <v>365</v>
      </c>
      <c r="L2" s="12" t="s">
        <v>366</v>
      </c>
    </row>
    <row r="3" customFormat="false" ht="15" hidden="false" customHeight="true" outlineLevel="0" collapsed="false">
      <c r="A3" s="13" t="s">
        <v>37</v>
      </c>
      <c r="B3" s="14" t="s">
        <v>38</v>
      </c>
      <c r="C3" s="16" t="s">
        <v>39</v>
      </c>
      <c r="D3" s="48" t="n">
        <v>38</v>
      </c>
      <c r="E3" s="20" t="s">
        <v>367</v>
      </c>
      <c r="F3" s="49" t="n">
        <v>0.068</v>
      </c>
      <c r="G3" s="50" t="n">
        <v>0.048</v>
      </c>
      <c r="H3" s="51" t="n">
        <v>0.065</v>
      </c>
      <c r="I3" s="51" t="n">
        <v>0.071</v>
      </c>
      <c r="J3" s="52" t="n">
        <v>-0.012</v>
      </c>
      <c r="K3" s="53" t="n">
        <v>0.83</v>
      </c>
      <c r="L3" s="51" t="n">
        <f aca="false">H3-G3</f>
        <v>0.017</v>
      </c>
    </row>
    <row r="4" customFormat="false" ht="15" hidden="false" customHeight="true" outlineLevel="0" collapsed="false">
      <c r="A4" s="21" t="s">
        <v>37</v>
      </c>
      <c r="B4" s="22" t="s">
        <v>47</v>
      </c>
      <c r="C4" s="24" t="s">
        <v>48</v>
      </c>
      <c r="D4" s="54" t="n">
        <v>78</v>
      </c>
      <c r="E4" s="55" t="s">
        <v>368</v>
      </c>
      <c r="F4" s="56" t="n">
        <v>0.018</v>
      </c>
      <c r="G4" s="56" t="n">
        <v>0.224</v>
      </c>
      <c r="H4" s="57" t="n">
        <v>0.22</v>
      </c>
      <c r="I4" s="57" t="n">
        <v>0.225</v>
      </c>
      <c r="J4" s="58" t="n">
        <v>-0.038</v>
      </c>
      <c r="K4" s="59" t="n">
        <v>0.77</v>
      </c>
      <c r="L4" s="57" t="n">
        <f aca="false">H4-G4</f>
        <v>-0.004</v>
      </c>
    </row>
    <row r="5" customFormat="false" ht="15" hidden="false" customHeight="true" outlineLevel="0" collapsed="false">
      <c r="A5" s="13" t="s">
        <v>37</v>
      </c>
      <c r="B5" s="14" t="s">
        <v>56</v>
      </c>
      <c r="C5" s="16" t="s">
        <v>57</v>
      </c>
      <c r="D5" s="48" t="n">
        <v>52</v>
      </c>
      <c r="E5" s="20" t="s">
        <v>367</v>
      </c>
      <c r="F5" s="49" t="n">
        <v>0.055</v>
      </c>
      <c r="G5" s="60" t="n">
        <v>0.092</v>
      </c>
      <c r="H5" s="51" t="n">
        <v>0.0875</v>
      </c>
      <c r="I5" s="51" t="n">
        <v>0.092</v>
      </c>
      <c r="J5" s="52" t="n">
        <v>-0.014</v>
      </c>
      <c r="K5" s="61" t="n">
        <v>0.38</v>
      </c>
      <c r="L5" s="51" t="n">
        <f aca="false">H5-G5</f>
        <v>-0.0045</v>
      </c>
    </row>
    <row r="6" customFormat="false" ht="15" hidden="false" customHeight="true" outlineLevel="0" collapsed="false">
      <c r="A6" s="21" t="s">
        <v>37</v>
      </c>
      <c r="B6" s="22" t="s">
        <v>64</v>
      </c>
      <c r="C6" s="24" t="s">
        <v>65</v>
      </c>
      <c r="D6" s="54" t="n">
        <v>72</v>
      </c>
      <c r="E6" s="55" t="s">
        <v>368</v>
      </c>
      <c r="F6" s="62" t="n">
        <v>0.028</v>
      </c>
      <c r="G6" s="63" t="n">
        <v>0.121</v>
      </c>
      <c r="H6" s="57" t="n">
        <v>0.09</v>
      </c>
      <c r="I6" s="57" t="n">
        <v>0.108</v>
      </c>
      <c r="J6" s="58" t="n">
        <v>-0.032</v>
      </c>
      <c r="K6" s="58" t="n">
        <v>1.15</v>
      </c>
      <c r="L6" s="57" t="n">
        <f aca="false">H6-G6</f>
        <v>-0.031</v>
      </c>
    </row>
    <row r="7" customFormat="false" ht="15" hidden="false" customHeight="true" outlineLevel="0" collapsed="false">
      <c r="A7" s="13" t="s">
        <v>72</v>
      </c>
      <c r="B7" s="14" t="s">
        <v>27</v>
      </c>
      <c r="C7" s="16" t="s">
        <v>73</v>
      </c>
      <c r="D7" s="48" t="n">
        <v>42</v>
      </c>
      <c r="E7" s="20" t="s">
        <v>367</v>
      </c>
      <c r="F7" s="49" t="n">
        <v>0.05</v>
      </c>
      <c r="G7" s="49" t="n">
        <v>0.028</v>
      </c>
      <c r="H7" s="51" t="n">
        <v>0.06</v>
      </c>
      <c r="I7" s="51" t="n">
        <v>0.0685</v>
      </c>
      <c r="J7" s="52" t="n">
        <v>-0.004</v>
      </c>
      <c r="K7" s="61" t="n">
        <v>0.39</v>
      </c>
      <c r="L7" s="51" t="n">
        <f aca="false">H7-G7</f>
        <v>0.032</v>
      </c>
    </row>
    <row r="8" customFormat="false" ht="15" hidden="false" customHeight="true" outlineLevel="0" collapsed="false">
      <c r="A8" s="21" t="s">
        <v>72</v>
      </c>
      <c r="B8" s="22" t="s">
        <v>81</v>
      </c>
      <c r="C8" s="24" t="s">
        <v>82</v>
      </c>
      <c r="D8" s="64" t="n">
        <v>36</v>
      </c>
      <c r="E8" s="65" t="s">
        <v>367</v>
      </c>
      <c r="F8" s="66" t="n">
        <v>0.044</v>
      </c>
      <c r="G8" s="66" t="n">
        <v>0.018</v>
      </c>
      <c r="H8" s="57" t="n">
        <v>0.03</v>
      </c>
      <c r="I8" s="57" t="n">
        <v>0.0395</v>
      </c>
      <c r="J8" s="67" t="n">
        <v>0.018</v>
      </c>
      <c r="K8" s="59" t="n">
        <v>0.66</v>
      </c>
      <c r="L8" s="57" t="n">
        <f aca="false">H8-G8</f>
        <v>0.012</v>
      </c>
    </row>
    <row r="9" customFormat="false" ht="15" hidden="false" customHeight="true" outlineLevel="0" collapsed="false">
      <c r="A9" s="13" t="s">
        <v>72</v>
      </c>
      <c r="B9" s="14" t="s">
        <v>89</v>
      </c>
      <c r="C9" s="16" t="s">
        <v>90</v>
      </c>
      <c r="D9" s="48" t="n">
        <v>44</v>
      </c>
      <c r="E9" s="20" t="s">
        <v>367</v>
      </c>
      <c r="F9" s="50" t="n">
        <v>0.025</v>
      </c>
      <c r="G9" s="49" t="n">
        <v>0.008</v>
      </c>
      <c r="H9" s="51" t="n">
        <v>0.025</v>
      </c>
      <c r="I9" s="51" t="n">
        <v>0.0295</v>
      </c>
      <c r="J9" s="61" t="n">
        <v>0.012</v>
      </c>
      <c r="K9" s="52" t="n">
        <v>0.61</v>
      </c>
      <c r="L9" s="51" t="n">
        <f aca="false">H9-G9</f>
        <v>0.017</v>
      </c>
    </row>
    <row r="10" customFormat="false" ht="15" hidden="false" customHeight="true" outlineLevel="0" collapsed="false">
      <c r="A10" s="21" t="s">
        <v>72</v>
      </c>
      <c r="B10" s="22" t="s">
        <v>97</v>
      </c>
      <c r="C10" s="24" t="s">
        <v>98</v>
      </c>
      <c r="D10" s="64" t="n">
        <v>46</v>
      </c>
      <c r="E10" s="65" t="s">
        <v>367</v>
      </c>
      <c r="F10" s="66" t="n">
        <v>0.056</v>
      </c>
      <c r="G10" s="66" t="n">
        <v>0.032</v>
      </c>
      <c r="H10" s="57" t="n">
        <v>0.065</v>
      </c>
      <c r="I10" s="57" t="n">
        <v>0.0675</v>
      </c>
      <c r="J10" s="58" t="n">
        <v>-0.034</v>
      </c>
      <c r="K10" s="59" t="n">
        <v>0.57</v>
      </c>
      <c r="L10" s="57" t="n">
        <f aca="false">H10-G10</f>
        <v>0.033</v>
      </c>
    </row>
    <row r="11" customFormat="false" ht="15" hidden="false" customHeight="true" outlineLevel="0" collapsed="false">
      <c r="A11" s="13" t="s">
        <v>72</v>
      </c>
      <c r="B11" s="14" t="s">
        <v>105</v>
      </c>
      <c r="C11" s="16" t="s">
        <v>106</v>
      </c>
      <c r="D11" s="48" t="n">
        <v>39</v>
      </c>
      <c r="E11" s="20" t="s">
        <v>367</v>
      </c>
      <c r="F11" s="49" t="n">
        <v>0.062</v>
      </c>
      <c r="G11" s="49" t="n">
        <v>0.034</v>
      </c>
      <c r="H11" s="51" t="n">
        <v>0.045</v>
      </c>
      <c r="I11" s="51" t="n">
        <v>0.0485</v>
      </c>
      <c r="J11" s="61" t="n">
        <v>0.028</v>
      </c>
      <c r="K11" s="61" t="n">
        <v>0.37</v>
      </c>
      <c r="L11" s="51" t="n">
        <f aca="false">H11-G11</f>
        <v>0.011</v>
      </c>
    </row>
    <row r="12" customFormat="false" ht="15" hidden="false" customHeight="true" outlineLevel="0" collapsed="false">
      <c r="A12" s="21" t="s">
        <v>72</v>
      </c>
      <c r="B12" s="22" t="s">
        <v>113</v>
      </c>
      <c r="C12" s="24" t="s">
        <v>114</v>
      </c>
      <c r="D12" s="68" t="n">
        <v>18</v>
      </c>
      <c r="E12" s="33" t="s">
        <v>369</v>
      </c>
      <c r="F12" s="56" t="n">
        <v>0.011</v>
      </c>
      <c r="G12" s="66" t="n">
        <v>0.032</v>
      </c>
      <c r="H12" s="57" t="n">
        <v>0.0386</v>
      </c>
      <c r="I12" s="57" t="n">
        <v>0.0328</v>
      </c>
      <c r="J12" s="67" t="n">
        <v>0.17</v>
      </c>
      <c r="K12" s="58" t="n">
        <v>1.68</v>
      </c>
      <c r="L12" s="57" t="n">
        <f aca="false">H12-G12</f>
        <v>0.0066</v>
      </c>
    </row>
    <row r="13" customFormat="false" ht="15" hidden="false" customHeight="true" outlineLevel="0" collapsed="false">
      <c r="A13" s="13" t="s">
        <v>122</v>
      </c>
      <c r="B13" s="14" t="s">
        <v>123</v>
      </c>
      <c r="C13" s="16" t="s">
        <v>124</v>
      </c>
      <c r="D13" s="69" t="n">
        <v>55</v>
      </c>
      <c r="E13" s="29" t="s">
        <v>370</v>
      </c>
      <c r="F13" s="49" t="n">
        <v>0.048</v>
      </c>
      <c r="G13" s="49" t="n">
        <v>0.002</v>
      </c>
      <c r="H13" s="51" t="n">
        <v>0.0345</v>
      </c>
      <c r="I13" s="51" t="n">
        <v>0.0258</v>
      </c>
      <c r="J13" s="61" t="n">
        <v>0.018</v>
      </c>
      <c r="K13" s="53" t="n">
        <v>2.88</v>
      </c>
      <c r="L13" s="51" t="n">
        <f aca="false">H13-G13</f>
        <v>0.0325</v>
      </c>
    </row>
    <row r="14" customFormat="false" ht="15" hidden="false" customHeight="true" outlineLevel="0" collapsed="false">
      <c r="A14" s="21" t="s">
        <v>122</v>
      </c>
      <c r="B14" s="22" t="s">
        <v>131</v>
      </c>
      <c r="C14" s="24" t="s">
        <v>132</v>
      </c>
      <c r="D14" s="68" t="n">
        <v>28</v>
      </c>
      <c r="E14" s="33" t="s">
        <v>369</v>
      </c>
      <c r="F14" s="62" t="n">
        <v>0.025</v>
      </c>
      <c r="G14" s="66" t="n">
        <v>0.026</v>
      </c>
      <c r="H14" s="57" t="n">
        <v>0.035</v>
      </c>
      <c r="I14" s="57" t="n">
        <v>0.0362</v>
      </c>
      <c r="J14" s="67" t="n">
        <v>0.014</v>
      </c>
      <c r="K14" s="59" t="n">
        <v>0.54</v>
      </c>
      <c r="L14" s="57" t="n">
        <f aca="false">H14-G14</f>
        <v>0.00900000000000001</v>
      </c>
    </row>
    <row r="15" customFormat="false" ht="15" hidden="false" customHeight="true" outlineLevel="0" collapsed="false">
      <c r="A15" s="13" t="s">
        <v>122</v>
      </c>
      <c r="B15" s="14" t="s">
        <v>139</v>
      </c>
      <c r="C15" s="16" t="s">
        <v>140</v>
      </c>
      <c r="D15" s="69" t="n">
        <v>58</v>
      </c>
      <c r="E15" s="29" t="s">
        <v>370</v>
      </c>
      <c r="F15" s="50" t="n">
        <v>0.026</v>
      </c>
      <c r="G15" s="49" t="n">
        <v>0.021</v>
      </c>
      <c r="H15" s="51" t="n">
        <v>0.02</v>
      </c>
      <c r="I15" s="51" t="n">
        <v>0.0154</v>
      </c>
      <c r="J15" s="61" t="n">
        <v>0.128</v>
      </c>
      <c r="K15" s="61" t="n">
        <v>0.28</v>
      </c>
      <c r="L15" s="51" t="n">
        <f aca="false">H15-G15</f>
        <v>-0.001</v>
      </c>
    </row>
    <row r="16" customFormat="false" ht="15" hidden="false" customHeight="true" outlineLevel="0" collapsed="false">
      <c r="A16" s="21" t="s">
        <v>122</v>
      </c>
      <c r="B16" s="22" t="s">
        <v>147</v>
      </c>
      <c r="C16" s="24" t="s">
        <v>148</v>
      </c>
      <c r="D16" s="70" t="n">
        <v>62</v>
      </c>
      <c r="E16" s="28" t="s">
        <v>370</v>
      </c>
      <c r="F16" s="62" t="n">
        <v>0.022</v>
      </c>
      <c r="G16" s="66" t="n">
        <v>0.024</v>
      </c>
      <c r="H16" s="57" t="n">
        <v>0.0575</v>
      </c>
      <c r="I16" s="57" t="n">
        <v>0.0428</v>
      </c>
      <c r="J16" s="67" t="n">
        <v>0.068</v>
      </c>
      <c r="K16" s="67" t="n">
        <v>0</v>
      </c>
      <c r="L16" s="57" t="n">
        <f aca="false">H16-G16</f>
        <v>0.0335</v>
      </c>
    </row>
    <row r="17" customFormat="false" ht="15" hidden="false" customHeight="true" outlineLevel="0" collapsed="false">
      <c r="A17" s="13" t="s">
        <v>155</v>
      </c>
      <c r="B17" s="14" t="s">
        <v>156</v>
      </c>
      <c r="C17" s="16" t="s">
        <v>157</v>
      </c>
      <c r="D17" s="69" t="n">
        <v>55</v>
      </c>
      <c r="E17" s="29" t="s">
        <v>370</v>
      </c>
      <c r="F17" s="50" t="n">
        <v>0.021</v>
      </c>
      <c r="G17" s="50" t="n">
        <v>0.045</v>
      </c>
      <c r="H17" s="51" t="n">
        <v>0.1075</v>
      </c>
      <c r="I17" s="51" t="n">
        <v>0.1092</v>
      </c>
      <c r="J17" s="52" t="n">
        <v>-0.015</v>
      </c>
      <c r="K17" s="53" t="n">
        <v>0.89</v>
      </c>
      <c r="L17" s="51" t="n">
        <f aca="false">H17-G17</f>
        <v>0.0625</v>
      </c>
    </row>
    <row r="18" customFormat="false" ht="15" hidden="false" customHeight="true" outlineLevel="0" collapsed="false">
      <c r="A18" s="21" t="s">
        <v>155</v>
      </c>
      <c r="B18" s="22" t="s">
        <v>164</v>
      </c>
      <c r="C18" s="24" t="s">
        <v>165</v>
      </c>
      <c r="D18" s="64" t="n">
        <v>48</v>
      </c>
      <c r="E18" s="65" t="s">
        <v>367</v>
      </c>
      <c r="F18" s="62" t="n">
        <v>0.024</v>
      </c>
      <c r="G18" s="62" t="n">
        <v>0.046</v>
      </c>
      <c r="H18" s="57" t="n">
        <v>0.1125</v>
      </c>
      <c r="I18" s="57" t="n">
        <v>0.0984</v>
      </c>
      <c r="J18" s="59" t="n">
        <v>-0.004</v>
      </c>
      <c r="K18" s="67" t="n">
        <v>0.49</v>
      </c>
      <c r="L18" s="57" t="n">
        <f aca="false">H18-G18</f>
        <v>0.0665</v>
      </c>
    </row>
    <row r="19" customFormat="false" ht="15" hidden="false" customHeight="true" outlineLevel="0" collapsed="false">
      <c r="A19" s="13" t="s">
        <v>155</v>
      </c>
      <c r="B19" s="14" t="s">
        <v>171</v>
      </c>
      <c r="C19" s="16" t="s">
        <v>172</v>
      </c>
      <c r="D19" s="48" t="n">
        <v>38</v>
      </c>
      <c r="E19" s="20" t="s">
        <v>367</v>
      </c>
      <c r="F19" s="71" t="n">
        <v>0.018</v>
      </c>
      <c r="G19" s="49" t="n">
        <v>0.038</v>
      </c>
      <c r="H19" s="51" t="n">
        <v>0.0725</v>
      </c>
      <c r="I19" s="51" t="n">
        <v>0.0582</v>
      </c>
      <c r="J19" s="53" t="n">
        <v>-0.038</v>
      </c>
      <c r="K19" s="61" t="n">
        <v>0.37</v>
      </c>
      <c r="L19" s="51" t="n">
        <f aca="false">H19-G19</f>
        <v>0.0345</v>
      </c>
    </row>
    <row r="20" customFormat="false" ht="15" hidden="false" customHeight="true" outlineLevel="0" collapsed="false">
      <c r="A20" s="21" t="s">
        <v>155</v>
      </c>
      <c r="B20" s="22" t="s">
        <v>179</v>
      </c>
      <c r="C20" s="24" t="s">
        <v>180</v>
      </c>
      <c r="D20" s="70" t="n">
        <v>58</v>
      </c>
      <c r="E20" s="28" t="s">
        <v>370</v>
      </c>
      <c r="F20" s="56" t="n">
        <v>0.014</v>
      </c>
      <c r="G20" s="62" t="n">
        <v>0.072</v>
      </c>
      <c r="H20" s="57" t="n">
        <v>0.1275</v>
      </c>
      <c r="I20" s="57" t="n">
        <v>0.1148</v>
      </c>
      <c r="J20" s="58" t="n">
        <v>-0.032</v>
      </c>
      <c r="K20" s="59" t="n">
        <v>0.55</v>
      </c>
      <c r="L20" s="57" t="n">
        <f aca="false">H20-G20</f>
        <v>0.0555</v>
      </c>
    </row>
    <row r="21" customFormat="false" ht="15" hidden="false" customHeight="true" outlineLevel="0" collapsed="false">
      <c r="A21" s="13" t="s">
        <v>155</v>
      </c>
      <c r="B21" s="14" t="s">
        <v>186</v>
      </c>
      <c r="C21" s="16" t="s">
        <v>187</v>
      </c>
      <c r="D21" s="48" t="n">
        <v>52</v>
      </c>
      <c r="E21" s="20" t="s">
        <v>367</v>
      </c>
      <c r="F21" s="50" t="n">
        <v>0.028</v>
      </c>
      <c r="G21" s="49" t="n">
        <v>0.032</v>
      </c>
      <c r="H21" s="51" t="n">
        <v>0.0675</v>
      </c>
      <c r="I21" s="51" t="n">
        <v>0.0642</v>
      </c>
      <c r="J21" s="52" t="n">
        <v>-0.008</v>
      </c>
      <c r="K21" s="61" t="n">
        <v>0.32</v>
      </c>
      <c r="L21" s="51" t="n">
        <f aca="false">H21-G21</f>
        <v>0.0355</v>
      </c>
    </row>
    <row r="22" customFormat="false" ht="15" hidden="false" customHeight="true" outlineLevel="0" collapsed="false">
      <c r="A22" s="21" t="s">
        <v>155</v>
      </c>
      <c r="B22" s="22" t="s">
        <v>194</v>
      </c>
      <c r="C22" s="24" t="s">
        <v>195</v>
      </c>
      <c r="D22" s="54" t="n">
        <v>88</v>
      </c>
      <c r="E22" s="55" t="s">
        <v>368</v>
      </c>
      <c r="F22" s="56" t="n">
        <v>-0.018</v>
      </c>
      <c r="G22" s="56" t="n">
        <v>2.114</v>
      </c>
      <c r="H22" s="57" t="n">
        <v>0.6</v>
      </c>
      <c r="I22" s="57" t="n">
        <v>0.428</v>
      </c>
      <c r="J22" s="59" t="n">
        <v>-0.008</v>
      </c>
      <c r="K22" s="58" t="n">
        <v>0.88</v>
      </c>
      <c r="L22" s="57" t="n">
        <f aca="false">H22-G22</f>
        <v>-1.514</v>
      </c>
    </row>
    <row r="23" customFormat="false" ht="15" hidden="false" customHeight="true" outlineLevel="0" collapsed="false">
      <c r="A23" s="13" t="s">
        <v>202</v>
      </c>
      <c r="B23" s="14" t="s">
        <v>203</v>
      </c>
      <c r="C23" s="16" t="s">
        <v>204</v>
      </c>
      <c r="D23" s="69" t="n">
        <v>62</v>
      </c>
      <c r="E23" s="29" t="s">
        <v>370</v>
      </c>
      <c r="F23" s="71" t="n">
        <v>0.005</v>
      </c>
      <c r="G23" s="50" t="n">
        <v>0.054</v>
      </c>
      <c r="H23" s="51" t="n">
        <v>0.0825</v>
      </c>
      <c r="I23" s="51" t="n">
        <v>0.0922</v>
      </c>
      <c r="J23" s="52" t="n">
        <v>-0.018</v>
      </c>
      <c r="K23" s="52" t="n">
        <v>0.72</v>
      </c>
      <c r="L23" s="51" t="n">
        <f aca="false">H23-G23</f>
        <v>0.0285</v>
      </c>
    </row>
    <row r="24" customFormat="false" ht="15" hidden="false" customHeight="true" outlineLevel="0" collapsed="false">
      <c r="A24" s="21" t="s">
        <v>202</v>
      </c>
      <c r="B24" s="22" t="s">
        <v>211</v>
      </c>
      <c r="C24" s="24" t="s">
        <v>212</v>
      </c>
      <c r="D24" s="54" t="n">
        <v>72</v>
      </c>
      <c r="E24" s="55" t="s">
        <v>368</v>
      </c>
      <c r="F24" s="62" t="n">
        <v>0.029</v>
      </c>
      <c r="G24" s="56" t="n">
        <v>0.292</v>
      </c>
      <c r="H24" s="57" t="n">
        <v>0.2625</v>
      </c>
      <c r="I24" s="57" t="n">
        <v>0.185</v>
      </c>
      <c r="J24" s="67" t="n">
        <v>0.008</v>
      </c>
      <c r="K24" s="67" t="n">
        <v>0.38</v>
      </c>
      <c r="L24" s="57" t="n">
        <f aca="false">H24-G24</f>
        <v>-0.0295</v>
      </c>
    </row>
    <row r="25" customFormat="false" ht="15" hidden="false" customHeight="true" outlineLevel="0" collapsed="false">
      <c r="A25" s="13" t="s">
        <v>202</v>
      </c>
      <c r="B25" s="14" t="s">
        <v>219</v>
      </c>
      <c r="C25" s="16" t="s">
        <v>220</v>
      </c>
      <c r="D25" s="69" t="n">
        <v>68</v>
      </c>
      <c r="E25" s="29" t="s">
        <v>370</v>
      </c>
      <c r="F25" s="50" t="n">
        <v>0.038</v>
      </c>
      <c r="G25" s="71" t="n">
        <v>0.318</v>
      </c>
      <c r="H25" s="51" t="n">
        <v>0.2775</v>
      </c>
      <c r="I25" s="51" t="n">
        <v>0.284</v>
      </c>
      <c r="J25" s="53" t="n">
        <v>-0.048</v>
      </c>
      <c r="K25" s="53" t="n">
        <v>0.92</v>
      </c>
      <c r="L25" s="51" t="n">
        <f aca="false">H25-G25</f>
        <v>-0.0405</v>
      </c>
    </row>
    <row r="26" customFormat="false" ht="15" hidden="false" customHeight="true" outlineLevel="0" collapsed="false">
      <c r="A26" s="21" t="s">
        <v>202</v>
      </c>
      <c r="B26" s="22" t="s">
        <v>227</v>
      </c>
      <c r="C26" s="24" t="s">
        <v>228</v>
      </c>
      <c r="D26" s="70" t="n">
        <v>58</v>
      </c>
      <c r="E26" s="28" t="s">
        <v>370</v>
      </c>
      <c r="F26" s="66" t="n">
        <v>0.05</v>
      </c>
      <c r="G26" s="62" t="n">
        <v>0.058</v>
      </c>
      <c r="H26" s="57" t="n">
        <v>0.13</v>
      </c>
      <c r="I26" s="57" t="n">
        <v>0.162</v>
      </c>
      <c r="J26" s="58" t="n">
        <v>-0.052</v>
      </c>
      <c r="K26" s="59" t="n">
        <v>0.68</v>
      </c>
      <c r="L26" s="57" t="n">
        <f aca="false">H26-G26</f>
        <v>0.072</v>
      </c>
    </row>
    <row r="27" customFormat="false" ht="15" hidden="false" customHeight="true" outlineLevel="0" collapsed="false">
      <c r="A27" s="13" t="s">
        <v>202</v>
      </c>
      <c r="B27" s="14" t="s">
        <v>235</v>
      </c>
      <c r="C27" s="16" t="s">
        <v>236</v>
      </c>
      <c r="D27" s="72" t="n">
        <v>74</v>
      </c>
      <c r="E27" s="73" t="s">
        <v>368</v>
      </c>
      <c r="F27" s="50" t="n">
        <v>0.032</v>
      </c>
      <c r="G27" s="71" t="n">
        <v>0.242</v>
      </c>
      <c r="H27" s="51" t="n">
        <v>0.29</v>
      </c>
      <c r="I27" s="51" t="n">
        <v>0.288</v>
      </c>
      <c r="J27" s="53" t="n">
        <v>-0.038</v>
      </c>
      <c r="K27" s="53" t="n">
        <v>0.88</v>
      </c>
      <c r="L27" s="51" t="n">
        <f aca="false">H27-G27</f>
        <v>0.048</v>
      </c>
    </row>
    <row r="28" customFormat="false" ht="15" hidden="false" customHeight="true" outlineLevel="0" collapsed="false">
      <c r="A28" s="21" t="s">
        <v>202</v>
      </c>
      <c r="B28" s="22" t="s">
        <v>242</v>
      </c>
      <c r="C28" s="24" t="s">
        <v>243</v>
      </c>
      <c r="D28" s="64" t="n">
        <v>42</v>
      </c>
      <c r="E28" s="65" t="s">
        <v>367</v>
      </c>
      <c r="F28" s="62" t="n">
        <v>0.032</v>
      </c>
      <c r="G28" s="62" t="n">
        <v>0.052</v>
      </c>
      <c r="H28" s="57" t="n">
        <v>0.03</v>
      </c>
      <c r="I28" s="57" t="n">
        <v>0.0512</v>
      </c>
      <c r="J28" s="58" t="n">
        <v>-0.032</v>
      </c>
      <c r="K28" s="59" t="n">
        <v>0.7</v>
      </c>
      <c r="L28" s="57" t="n">
        <f aca="false">H28-G28</f>
        <v>-0.022</v>
      </c>
    </row>
    <row r="29" customFormat="false" ht="15" hidden="false" customHeight="true" outlineLevel="0" collapsed="false">
      <c r="A29" s="13" t="s">
        <v>202</v>
      </c>
      <c r="B29" s="14" t="s">
        <v>249</v>
      </c>
      <c r="C29" s="16" t="s">
        <v>250</v>
      </c>
      <c r="D29" s="48" t="n">
        <v>48</v>
      </c>
      <c r="E29" s="20" t="s">
        <v>367</v>
      </c>
      <c r="F29" s="49" t="n">
        <v>0.051</v>
      </c>
      <c r="G29" s="49" t="n">
        <v>0.032</v>
      </c>
      <c r="H29" s="51" t="n">
        <v>0.06</v>
      </c>
      <c r="I29" s="51" t="n">
        <v>0.084</v>
      </c>
      <c r="J29" s="53" t="n">
        <v>-0.048</v>
      </c>
      <c r="K29" s="61" t="n">
        <v>0.42</v>
      </c>
      <c r="L29" s="51" t="n">
        <f aca="false">H29-G29</f>
        <v>0.028</v>
      </c>
    </row>
    <row r="30" customFormat="false" ht="15" hidden="false" customHeight="true" outlineLevel="0" collapsed="false">
      <c r="A30" s="21" t="s">
        <v>257</v>
      </c>
      <c r="B30" s="22" t="s">
        <v>258</v>
      </c>
      <c r="C30" s="24" t="s">
        <v>259</v>
      </c>
      <c r="D30" s="68" t="n">
        <v>32</v>
      </c>
      <c r="E30" s="33" t="s">
        <v>369</v>
      </c>
      <c r="F30" s="56" t="n">
        <v>0.008</v>
      </c>
      <c r="G30" s="66" t="n">
        <v>0.018</v>
      </c>
      <c r="H30" s="57" t="n">
        <v>0.06</v>
      </c>
      <c r="I30" s="57" t="n">
        <v>0.0528</v>
      </c>
      <c r="J30" s="67" t="n">
        <v>0.038</v>
      </c>
      <c r="K30" s="67" t="n">
        <v>0.24</v>
      </c>
      <c r="L30" s="57" t="n">
        <f aca="false">H30-G30</f>
        <v>0.042</v>
      </c>
    </row>
    <row r="31" customFormat="false" ht="15" hidden="false" customHeight="true" outlineLevel="0" collapsed="false">
      <c r="A31" s="13" t="s">
        <v>257</v>
      </c>
      <c r="B31" s="14" t="s">
        <v>266</v>
      </c>
      <c r="C31" s="16" t="s">
        <v>267</v>
      </c>
      <c r="D31" s="74" t="n">
        <v>25</v>
      </c>
      <c r="E31" s="31" t="s">
        <v>369</v>
      </c>
      <c r="F31" s="49" t="n">
        <v>0.042</v>
      </c>
      <c r="G31" s="49" t="n">
        <v>0.022</v>
      </c>
      <c r="H31" s="51" t="n">
        <v>0.054</v>
      </c>
      <c r="I31" s="51" t="n">
        <v>0.0482</v>
      </c>
      <c r="J31" s="61" t="n">
        <v>0.088</v>
      </c>
      <c r="K31" s="61" t="n">
        <v>0.29</v>
      </c>
      <c r="L31" s="51" t="n">
        <f aca="false">H31-G31</f>
        <v>0.032</v>
      </c>
    </row>
    <row r="32" customFormat="false" ht="15" hidden="false" customHeight="true" outlineLevel="0" collapsed="false">
      <c r="A32" s="21" t="s">
        <v>257</v>
      </c>
      <c r="B32" s="22" t="s">
        <v>274</v>
      </c>
      <c r="C32" s="24" t="s">
        <v>275</v>
      </c>
      <c r="D32" s="68" t="n">
        <v>22</v>
      </c>
      <c r="E32" s="33" t="s">
        <v>369</v>
      </c>
      <c r="F32" s="56" t="n">
        <v>0.018</v>
      </c>
      <c r="G32" s="66" t="n">
        <v>0.028</v>
      </c>
      <c r="H32" s="57" t="n">
        <v>0.0575</v>
      </c>
      <c r="I32" s="57" t="n">
        <v>0.0452</v>
      </c>
      <c r="J32" s="67" t="n">
        <v>0.124</v>
      </c>
      <c r="K32" s="67" t="n">
        <v>0.42</v>
      </c>
      <c r="L32" s="57" t="n">
        <f aca="false">H32-G32</f>
        <v>0.0295</v>
      </c>
    </row>
    <row r="33" customFormat="false" ht="15" hidden="false" customHeight="true" outlineLevel="0" collapsed="false">
      <c r="A33" s="13" t="s">
        <v>257</v>
      </c>
      <c r="B33" s="14" t="s">
        <v>282</v>
      </c>
      <c r="C33" s="16" t="s">
        <v>283</v>
      </c>
      <c r="D33" s="72" t="n">
        <v>72</v>
      </c>
      <c r="E33" s="73" t="s">
        <v>368</v>
      </c>
      <c r="F33" s="50" t="n">
        <v>0.032</v>
      </c>
      <c r="G33" s="71" t="n">
        <v>0.685</v>
      </c>
      <c r="H33" s="51" t="n">
        <v>0.5</v>
      </c>
      <c r="I33" s="51" t="n">
        <v>0.428</v>
      </c>
      <c r="J33" s="53" t="n">
        <v>-0.042</v>
      </c>
      <c r="K33" s="61" t="n">
        <v>0.32</v>
      </c>
      <c r="L33" s="51" t="n">
        <f aca="false">H33-G33</f>
        <v>-0.185</v>
      </c>
    </row>
    <row r="34" customFormat="false" ht="15" hidden="false" customHeight="true" outlineLevel="0" collapsed="false">
      <c r="A34" s="21" t="s">
        <v>257</v>
      </c>
      <c r="B34" s="22" t="s">
        <v>290</v>
      </c>
      <c r="C34" s="24" t="s">
        <v>291</v>
      </c>
      <c r="D34" s="70" t="n">
        <v>68</v>
      </c>
      <c r="E34" s="28" t="s">
        <v>370</v>
      </c>
      <c r="F34" s="56" t="n">
        <v>0.008</v>
      </c>
      <c r="G34" s="66" t="n">
        <v>0.028</v>
      </c>
      <c r="H34" s="57" t="n">
        <v>0.0475</v>
      </c>
      <c r="I34" s="57" t="n">
        <v>0.0482</v>
      </c>
      <c r="J34" s="67" t="n">
        <v>0.038</v>
      </c>
      <c r="K34" s="59" t="n">
        <v>0.58</v>
      </c>
      <c r="L34" s="57" t="n">
        <f aca="false">H34-G34</f>
        <v>0.0195</v>
      </c>
    </row>
    <row r="35" customFormat="false" ht="15" hidden="false" customHeight="true" outlineLevel="0" collapsed="false">
      <c r="A35" s="13" t="s">
        <v>257</v>
      </c>
      <c r="B35" s="14" t="s">
        <v>297</v>
      </c>
      <c r="C35" s="16" t="s">
        <v>298</v>
      </c>
      <c r="D35" s="74" t="n">
        <v>28</v>
      </c>
      <c r="E35" s="31" t="s">
        <v>369</v>
      </c>
      <c r="F35" s="71" t="n">
        <v>0.002</v>
      </c>
      <c r="G35" s="49" t="n">
        <v>0.032</v>
      </c>
      <c r="H35" s="51" t="n">
        <v>0.0425</v>
      </c>
      <c r="I35" s="51" t="n">
        <v>0.0412</v>
      </c>
      <c r="J35" s="61" t="n">
        <v>0.182</v>
      </c>
      <c r="K35" s="61" t="n">
        <v>0.03</v>
      </c>
      <c r="L35" s="51" t="n">
        <f aca="false">H35-G35</f>
        <v>0.0105</v>
      </c>
    </row>
    <row r="36" customFormat="false" ht="15" hidden="false" customHeight="true" outlineLevel="0" collapsed="false">
      <c r="A36" s="21" t="s">
        <v>305</v>
      </c>
      <c r="B36" s="22" t="s">
        <v>306</v>
      </c>
      <c r="C36" s="24" t="s">
        <v>307</v>
      </c>
      <c r="D36" s="64" t="n">
        <v>38</v>
      </c>
      <c r="E36" s="65" t="s">
        <v>367</v>
      </c>
      <c r="F36" s="62" t="n">
        <v>0.028</v>
      </c>
      <c r="G36" s="66" t="n">
        <v>0.038</v>
      </c>
      <c r="H36" s="57" t="n">
        <v>0.0575</v>
      </c>
      <c r="I36" s="57" t="n">
        <v>0.0542</v>
      </c>
      <c r="J36" s="59" t="n">
        <v>-0.018</v>
      </c>
      <c r="K36" s="67" t="n">
        <v>0.49</v>
      </c>
      <c r="L36" s="57" t="n">
        <f aca="false">H36-G36</f>
        <v>0.0195</v>
      </c>
    </row>
    <row r="37" customFormat="false" ht="15" hidden="false" customHeight="true" outlineLevel="0" collapsed="false">
      <c r="A37" s="13" t="s">
        <v>305</v>
      </c>
      <c r="B37" s="14" t="s">
        <v>313</v>
      </c>
      <c r="C37" s="16" t="s">
        <v>314</v>
      </c>
      <c r="D37" s="74" t="n">
        <v>28</v>
      </c>
      <c r="E37" s="31" t="s">
        <v>369</v>
      </c>
      <c r="F37" s="71" t="n">
        <v>0.012</v>
      </c>
      <c r="G37" s="49" t="n">
        <v>0.024</v>
      </c>
      <c r="H37" s="51" t="n">
        <v>0.0575</v>
      </c>
      <c r="I37" s="51" t="n">
        <v>0.0482</v>
      </c>
      <c r="J37" s="61" t="n">
        <v>0.008</v>
      </c>
      <c r="K37" s="61" t="n">
        <v>0.44</v>
      </c>
      <c r="L37" s="51" t="n">
        <f aca="false">H37-G37</f>
        <v>0.0335</v>
      </c>
    </row>
    <row r="38" customFormat="false" ht="15" hidden="false" customHeight="true" outlineLevel="0" collapsed="false">
      <c r="A38" s="21" t="s">
        <v>305</v>
      </c>
      <c r="B38" s="22" t="s">
        <v>321</v>
      </c>
      <c r="C38" s="24" t="s">
        <v>322</v>
      </c>
      <c r="D38" s="64" t="n">
        <v>52</v>
      </c>
      <c r="E38" s="65" t="s">
        <v>367</v>
      </c>
      <c r="F38" s="56" t="n">
        <v>0.005</v>
      </c>
      <c r="G38" s="62" t="n">
        <v>0.048</v>
      </c>
      <c r="H38" s="57" t="n">
        <v>0.0975</v>
      </c>
      <c r="I38" s="57" t="n">
        <v>0.0682</v>
      </c>
      <c r="J38" s="58" t="n">
        <v>-0.034</v>
      </c>
      <c r="K38" s="59" t="n">
        <v>0.73</v>
      </c>
      <c r="L38" s="57" t="n">
        <f aca="false">H38-G38</f>
        <v>0.0495</v>
      </c>
    </row>
    <row r="39" customFormat="false" ht="15" hidden="false" customHeight="true" outlineLevel="0" collapsed="false">
      <c r="A39" s="13" t="s">
        <v>305</v>
      </c>
      <c r="B39" s="14" t="s">
        <v>329</v>
      </c>
      <c r="C39" s="16" t="s">
        <v>330</v>
      </c>
      <c r="D39" s="48" t="n">
        <v>48</v>
      </c>
      <c r="E39" s="20" t="s">
        <v>367</v>
      </c>
      <c r="F39" s="50" t="n">
        <v>0.028</v>
      </c>
      <c r="G39" s="50" t="n">
        <v>0.058</v>
      </c>
      <c r="H39" s="51" t="n">
        <v>0.07</v>
      </c>
      <c r="I39" s="51" t="n">
        <v>0.0642</v>
      </c>
      <c r="J39" s="53" t="n">
        <v>-0.072</v>
      </c>
      <c r="K39" s="61" t="n">
        <v>0.49</v>
      </c>
      <c r="L39" s="51" t="n">
        <f aca="false">H39-G39</f>
        <v>0.012</v>
      </c>
    </row>
    <row r="40" customFormat="false" ht="15" hidden="false" customHeight="true" outlineLevel="0" collapsed="false">
      <c r="A40" s="21" t="s">
        <v>305</v>
      </c>
      <c r="B40" s="22" t="s">
        <v>336</v>
      </c>
      <c r="C40" s="24" t="s">
        <v>337</v>
      </c>
      <c r="D40" s="64" t="n">
        <v>44</v>
      </c>
      <c r="E40" s="65" t="s">
        <v>367</v>
      </c>
      <c r="F40" s="62" t="n">
        <v>0.021</v>
      </c>
      <c r="G40" s="66" t="n">
        <v>0.032</v>
      </c>
      <c r="H40" s="57" t="n">
        <v>0.045</v>
      </c>
      <c r="I40" s="57" t="n">
        <v>0.0358</v>
      </c>
      <c r="J40" s="58" t="n">
        <v>-0.078</v>
      </c>
      <c r="K40" s="58" t="n">
        <v>1.61</v>
      </c>
      <c r="L40" s="57" t="n">
        <f aca="false">H40-G40</f>
        <v>0.013</v>
      </c>
    </row>
  </sheetData>
  <mergeCells count="1">
    <mergeCell ref="A1:L1"/>
  </mergeCells>
  <conditionalFormatting sqref="D3:D40">
    <cfRule type="colorScale" priority="2">
      <colorScale>
        <cfvo type="num" val="0"/>
        <cfvo type="num" val="50"/>
        <cfvo type="num" val="100"/>
        <color rgb="FF22C55E"/>
        <color rgb="FFF59E0B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36"/>
    <col collapsed="false" customWidth="true" hidden="false" outlineLevel="0" max="7" min="7" style="1" width="16"/>
    <col collapsed="false" customWidth="true" hidden="false" outlineLevel="0" max="8" min="8" style="1" width="20"/>
  </cols>
  <sheetData>
    <row r="1" customFormat="false" ht="15" hidden="false" customHeight="true" outlineLevel="0" collapsed="false">
      <c r="A1" s="35" t="s">
        <v>371</v>
      </c>
      <c r="B1" s="35"/>
      <c r="C1" s="35"/>
      <c r="D1" s="35"/>
      <c r="E1" s="35"/>
      <c r="F1" s="35"/>
      <c r="G1" s="35"/>
      <c r="H1" s="35"/>
    </row>
    <row r="2" customFormat="false" ht="15" hidden="false" customHeight="true" outlineLevel="0" collapsed="false">
      <c r="A2" s="75" t="s">
        <v>372</v>
      </c>
      <c r="B2" s="75"/>
      <c r="C2" s="75"/>
      <c r="D2" s="75"/>
      <c r="E2" s="75"/>
      <c r="F2" s="75"/>
      <c r="G2" s="75"/>
      <c r="H2" s="75"/>
    </row>
    <row r="4" customFormat="false" ht="15" hidden="false" customHeight="true" outlineLevel="0" collapsed="false">
      <c r="A4" s="12" t="s">
        <v>373</v>
      </c>
      <c r="B4" s="12" t="s">
        <v>374</v>
      </c>
      <c r="C4" s="12" t="s">
        <v>375</v>
      </c>
      <c r="D4" s="12" t="s">
        <v>376</v>
      </c>
      <c r="E4" s="12" t="s">
        <v>377</v>
      </c>
      <c r="F4" s="12" t="s">
        <v>378</v>
      </c>
      <c r="G4" s="12" t="s">
        <v>379</v>
      </c>
      <c r="H4" s="12" t="s">
        <v>380</v>
      </c>
    </row>
    <row r="5" customFormat="false" ht="15" hidden="false" customHeight="true" outlineLevel="0" collapsed="false">
      <c r="A5" s="76" t="s">
        <v>381</v>
      </c>
      <c r="B5" s="77" t="n">
        <v>0.4</v>
      </c>
      <c r="C5" s="17" t="s">
        <v>382</v>
      </c>
      <c r="D5" s="18" t="n">
        <v>5</v>
      </c>
      <c r="E5" s="78" t="n">
        <v>0.82</v>
      </c>
      <c r="F5" s="13" t="s">
        <v>383</v>
      </c>
      <c r="G5" s="72" t="s">
        <v>384</v>
      </c>
      <c r="H5" s="77" t="n">
        <v>0.4</v>
      </c>
    </row>
    <row r="6" customFormat="false" ht="15" hidden="false" customHeight="true" outlineLevel="0" collapsed="false">
      <c r="A6" s="79" t="s">
        <v>385</v>
      </c>
      <c r="B6" s="80" t="n">
        <v>0.25</v>
      </c>
      <c r="C6" s="25" t="s">
        <v>386</v>
      </c>
      <c r="D6" s="26" t="n">
        <v>2</v>
      </c>
      <c r="E6" s="81" t="n">
        <v>0.76</v>
      </c>
      <c r="F6" s="21" t="s">
        <v>387</v>
      </c>
      <c r="G6" s="54" t="s">
        <v>384</v>
      </c>
      <c r="H6" s="80" t="n">
        <v>0.25</v>
      </c>
    </row>
    <row r="7" customFormat="false" ht="15" hidden="false" customHeight="true" outlineLevel="0" collapsed="false">
      <c r="A7" s="76" t="s">
        <v>388</v>
      </c>
      <c r="B7" s="77" t="n">
        <v>0.2</v>
      </c>
      <c r="C7" s="17" t="s">
        <v>389</v>
      </c>
      <c r="D7" s="18" t="n">
        <v>3</v>
      </c>
      <c r="E7" s="78" t="n">
        <v>0.71</v>
      </c>
      <c r="F7" s="13" t="s">
        <v>390</v>
      </c>
      <c r="G7" s="74" t="s">
        <v>391</v>
      </c>
      <c r="H7" s="82" t="n">
        <v>0</v>
      </c>
    </row>
    <row r="8" customFormat="false" ht="15" hidden="false" customHeight="true" outlineLevel="0" collapsed="false">
      <c r="A8" s="79" t="s">
        <v>392</v>
      </c>
      <c r="B8" s="80" t="n">
        <v>0.1</v>
      </c>
      <c r="C8" s="25" t="s">
        <v>393</v>
      </c>
      <c r="D8" s="26" t="n">
        <v>7</v>
      </c>
      <c r="E8" s="81" t="n">
        <v>0.68</v>
      </c>
      <c r="F8" s="21" t="s">
        <v>394</v>
      </c>
      <c r="G8" s="68" t="s">
        <v>391</v>
      </c>
      <c r="H8" s="83" t="n">
        <v>0</v>
      </c>
    </row>
    <row r="9" customFormat="false" ht="15" hidden="false" customHeight="true" outlineLevel="0" collapsed="false">
      <c r="A9" s="76" t="s">
        <v>395</v>
      </c>
      <c r="B9" s="77" t="n">
        <v>0.05</v>
      </c>
      <c r="C9" s="17" t="s">
        <v>396</v>
      </c>
      <c r="D9" s="18" t="n">
        <v>4</v>
      </c>
      <c r="E9" s="78" t="n">
        <v>0.64</v>
      </c>
      <c r="F9" s="13" t="s">
        <v>397</v>
      </c>
      <c r="G9" s="72" t="s">
        <v>384</v>
      </c>
      <c r="H9" s="77" t="n">
        <v>0.05</v>
      </c>
    </row>
    <row r="11" customFormat="false" ht="15" hidden="false" customHeight="true" outlineLevel="0" collapsed="false">
      <c r="A11" s="84" t="s">
        <v>398</v>
      </c>
      <c r="B11" s="85" t="n">
        <f aca="false">SUMPRODUCT(B5:B9,H5:H9)</f>
        <v>0.225</v>
      </c>
      <c r="C11" s="86" t="s">
        <v>399</v>
      </c>
      <c r="D11" s="86"/>
      <c r="E11" s="86"/>
      <c r="F11" s="86"/>
      <c r="G11" s="86"/>
      <c r="H11" s="86"/>
    </row>
    <row r="13" customFormat="false" ht="15" hidden="false" customHeight="true" outlineLevel="0" collapsed="false">
      <c r="A13" s="87" t="s">
        <v>400</v>
      </c>
      <c r="B13" s="87"/>
      <c r="C13" s="87"/>
      <c r="D13" s="87"/>
      <c r="E13" s="87"/>
      <c r="F13" s="87"/>
      <c r="G13" s="87"/>
      <c r="H13" s="87"/>
    </row>
    <row r="14" customFormat="false" ht="15" hidden="false" customHeight="true" outlineLevel="0" collapsed="false">
      <c r="A14" s="12" t="s">
        <v>401</v>
      </c>
      <c r="B14" s="12" t="s">
        <v>402</v>
      </c>
      <c r="C14" s="12" t="s">
        <v>403</v>
      </c>
      <c r="D14" s="12" t="s">
        <v>404</v>
      </c>
      <c r="E14" s="12" t="s">
        <v>405</v>
      </c>
    </row>
    <row r="15" customFormat="false" ht="15" hidden="false" customHeight="true" outlineLevel="0" collapsed="false">
      <c r="A15" s="88" t="s">
        <v>406</v>
      </c>
      <c r="B15" s="89" t="s">
        <v>407</v>
      </c>
      <c r="C15" s="88" t="s">
        <v>408</v>
      </c>
      <c r="D15" s="88" t="s">
        <v>409</v>
      </c>
      <c r="E15" s="88" t="s">
        <v>410</v>
      </c>
    </row>
    <row r="16" customFormat="false" ht="15" hidden="false" customHeight="true" outlineLevel="0" collapsed="false">
      <c r="A16" s="24" t="s">
        <v>411</v>
      </c>
      <c r="B16" s="90" t="s">
        <v>412</v>
      </c>
      <c r="C16" s="24" t="s">
        <v>413</v>
      </c>
      <c r="D16" s="24" t="s">
        <v>414</v>
      </c>
      <c r="E16" s="24" t="s">
        <v>415</v>
      </c>
    </row>
    <row r="17" customFormat="false" ht="15" hidden="false" customHeight="true" outlineLevel="0" collapsed="false">
      <c r="A17" s="88" t="s">
        <v>416</v>
      </c>
      <c r="B17" s="91" t="s">
        <v>417</v>
      </c>
      <c r="C17" s="88" t="s">
        <v>418</v>
      </c>
      <c r="D17" s="88" t="s">
        <v>419</v>
      </c>
      <c r="E17" s="88" t="s">
        <v>420</v>
      </c>
    </row>
    <row r="18" customFormat="false" ht="15" hidden="false" customHeight="true" outlineLevel="0" collapsed="false">
      <c r="A18" s="24" t="s">
        <v>421</v>
      </c>
      <c r="B18" s="92" t="s">
        <v>368</v>
      </c>
      <c r="C18" s="24" t="s">
        <v>422</v>
      </c>
      <c r="D18" s="24" t="s">
        <v>423</v>
      </c>
      <c r="E18" s="24" t="s">
        <v>424</v>
      </c>
    </row>
    <row r="19" customFormat="false" ht="15" hidden="false" customHeight="true" outlineLevel="0" collapsed="false">
      <c r="A19" s="88" t="s">
        <v>425</v>
      </c>
      <c r="B19" s="93" t="s">
        <v>426</v>
      </c>
      <c r="C19" s="88" t="s">
        <v>427</v>
      </c>
      <c r="D19" s="88" t="s">
        <v>428</v>
      </c>
      <c r="E19" s="88" t="s">
        <v>429</v>
      </c>
    </row>
  </sheetData>
  <mergeCells count="4">
    <mergeCell ref="A1:H1"/>
    <mergeCell ref="A2:H2"/>
    <mergeCell ref="C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36"/>
  </cols>
  <sheetData>
    <row r="1" customFormat="false" ht="15" hidden="false" customHeight="true" outlineLevel="0" collapsed="false">
      <c r="A1" s="35" t="s">
        <v>430</v>
      </c>
      <c r="B1" s="35"/>
      <c r="C1" s="35"/>
      <c r="D1" s="35"/>
      <c r="E1" s="35"/>
      <c r="F1" s="35"/>
      <c r="G1" s="35"/>
      <c r="H1" s="35"/>
      <c r="I1" s="35"/>
    </row>
    <row r="2" customFormat="false" ht="15" hidden="false" customHeight="true" outlineLevel="0" collapsed="false">
      <c r="A2" s="12" t="s">
        <v>431</v>
      </c>
      <c r="B2" s="12" t="s">
        <v>432</v>
      </c>
      <c r="C2" s="12" t="s">
        <v>433</v>
      </c>
      <c r="D2" s="12" t="s">
        <v>434</v>
      </c>
      <c r="E2" s="12" t="s">
        <v>435</v>
      </c>
      <c r="F2" s="12" t="s">
        <v>436</v>
      </c>
      <c r="G2" s="12" t="s">
        <v>437</v>
      </c>
      <c r="H2" s="12" t="s">
        <v>438</v>
      </c>
      <c r="I2" s="12" t="s">
        <v>439</v>
      </c>
    </row>
    <row r="3" customFormat="false" ht="15" hidden="false" customHeight="true" outlineLevel="0" collapsed="false">
      <c r="A3" s="94" t="s">
        <v>440</v>
      </c>
      <c r="B3" s="76" t="s">
        <v>441</v>
      </c>
      <c r="C3" s="20" t="n">
        <v>2</v>
      </c>
      <c r="D3" s="95" t="n">
        <v>0.001</v>
      </c>
      <c r="E3" s="96" t="n">
        <v>0.85</v>
      </c>
      <c r="F3" s="31" t="s">
        <v>370</v>
      </c>
      <c r="G3" s="17" t="s">
        <v>442</v>
      </c>
      <c r="H3" s="17" t="s">
        <v>443</v>
      </c>
      <c r="I3" s="13" t="s">
        <v>444</v>
      </c>
    </row>
    <row r="4" customFormat="false" ht="15" hidden="false" customHeight="true" outlineLevel="0" collapsed="false">
      <c r="A4" s="97" t="s">
        <v>445</v>
      </c>
      <c r="B4" s="79" t="s">
        <v>446</v>
      </c>
      <c r="C4" s="65" t="n">
        <v>1</v>
      </c>
      <c r="D4" s="98" t="n">
        <v>0.003</v>
      </c>
      <c r="E4" s="99" t="n">
        <v>0.82</v>
      </c>
      <c r="F4" s="33" t="s">
        <v>370</v>
      </c>
      <c r="G4" s="25" t="s">
        <v>447</v>
      </c>
      <c r="H4" s="25" t="s">
        <v>448</v>
      </c>
      <c r="I4" s="21" t="s">
        <v>449</v>
      </c>
    </row>
    <row r="5" customFormat="false" ht="15" hidden="false" customHeight="true" outlineLevel="0" collapsed="false">
      <c r="A5" s="94" t="s">
        <v>450</v>
      </c>
      <c r="B5" s="76" t="s">
        <v>451</v>
      </c>
      <c r="C5" s="20" t="n">
        <v>5</v>
      </c>
      <c r="D5" s="95" t="n">
        <v>0.001</v>
      </c>
      <c r="E5" s="96" t="n">
        <v>0.89</v>
      </c>
      <c r="F5" s="31" t="s">
        <v>370</v>
      </c>
      <c r="G5" s="17" t="s">
        <v>452</v>
      </c>
      <c r="H5" s="17" t="s">
        <v>453</v>
      </c>
      <c r="I5" s="13" t="s">
        <v>454</v>
      </c>
    </row>
    <row r="6" customFormat="false" ht="15" hidden="false" customHeight="true" outlineLevel="0" collapsed="false">
      <c r="A6" s="97" t="s">
        <v>455</v>
      </c>
      <c r="B6" s="79" t="s">
        <v>456</v>
      </c>
      <c r="C6" s="65" t="n">
        <v>30</v>
      </c>
      <c r="D6" s="98" t="n">
        <v>0.004</v>
      </c>
      <c r="E6" s="100" t="n">
        <v>0.78</v>
      </c>
      <c r="F6" s="33" t="s">
        <v>370</v>
      </c>
      <c r="G6" s="25" t="s">
        <v>457</v>
      </c>
      <c r="H6" s="25" t="s">
        <v>458</v>
      </c>
      <c r="I6" s="21" t="s">
        <v>459</v>
      </c>
    </row>
    <row r="7" customFormat="false" ht="15" hidden="false" customHeight="true" outlineLevel="0" collapsed="false">
      <c r="A7" s="94" t="s">
        <v>460</v>
      </c>
      <c r="B7" s="76" t="s">
        <v>461</v>
      </c>
      <c r="C7" s="20" t="n">
        <v>0</v>
      </c>
      <c r="D7" s="95" t="n">
        <v>0.001</v>
      </c>
      <c r="E7" s="96" t="n">
        <v>0.91</v>
      </c>
      <c r="F7" s="31" t="s">
        <v>370</v>
      </c>
      <c r="G7" s="17" t="s">
        <v>462</v>
      </c>
      <c r="H7" s="17" t="s">
        <v>463</v>
      </c>
      <c r="I7" s="13" t="s">
        <v>464</v>
      </c>
    </row>
    <row r="8" customFormat="false" ht="15" hidden="false" customHeight="true" outlineLevel="0" collapsed="false">
      <c r="A8" s="97" t="s">
        <v>465</v>
      </c>
      <c r="B8" s="79" t="s">
        <v>466</v>
      </c>
      <c r="C8" s="65" t="n">
        <v>15</v>
      </c>
      <c r="D8" s="98" t="n">
        <v>0.006</v>
      </c>
      <c r="E8" s="100" t="n">
        <v>0.72</v>
      </c>
      <c r="F8" s="65" t="s">
        <v>367</v>
      </c>
      <c r="G8" s="25" t="s">
        <v>467</v>
      </c>
      <c r="H8" s="25" t="s">
        <v>468</v>
      </c>
      <c r="I8" s="21" t="s">
        <v>469</v>
      </c>
    </row>
    <row r="9" customFormat="false" ht="15" hidden="false" customHeight="true" outlineLevel="0" collapsed="false">
      <c r="A9" s="94" t="s">
        <v>465</v>
      </c>
      <c r="B9" s="76" t="s">
        <v>470</v>
      </c>
      <c r="C9" s="20" t="n">
        <v>1</v>
      </c>
      <c r="D9" s="95" t="n">
        <v>0.002</v>
      </c>
      <c r="E9" s="96" t="n">
        <v>0.88</v>
      </c>
      <c r="F9" s="31" t="s">
        <v>370</v>
      </c>
      <c r="G9" s="17" t="s">
        <v>471</v>
      </c>
      <c r="H9" s="17" t="s">
        <v>472</v>
      </c>
      <c r="I9" s="13" t="s">
        <v>473</v>
      </c>
    </row>
    <row r="10" customFormat="false" ht="15" hidden="false" customHeight="true" outlineLevel="0" collapsed="false">
      <c r="A10" s="97" t="s">
        <v>474</v>
      </c>
      <c r="B10" s="79" t="s">
        <v>475</v>
      </c>
      <c r="C10" s="65" t="n">
        <v>180</v>
      </c>
      <c r="D10" s="98" t="n">
        <v>0.008</v>
      </c>
      <c r="E10" s="100" t="n">
        <v>0.74</v>
      </c>
      <c r="F10" s="65" t="s">
        <v>367</v>
      </c>
      <c r="G10" s="25" t="s">
        <v>467</v>
      </c>
      <c r="H10" s="25" t="s">
        <v>476</v>
      </c>
      <c r="I10" s="21" t="s">
        <v>477</v>
      </c>
    </row>
    <row r="11" customFormat="false" ht="15" hidden="false" customHeight="true" outlineLevel="0" collapsed="false">
      <c r="A11" s="94" t="s">
        <v>478</v>
      </c>
      <c r="B11" s="76" t="s">
        <v>479</v>
      </c>
      <c r="C11" s="20" t="n">
        <v>7</v>
      </c>
      <c r="D11" s="95" t="n">
        <v>0.003</v>
      </c>
      <c r="E11" s="96" t="n">
        <v>0.81</v>
      </c>
      <c r="F11" s="31" t="s">
        <v>370</v>
      </c>
      <c r="G11" s="17" t="s">
        <v>480</v>
      </c>
      <c r="H11" s="17" t="s">
        <v>481</v>
      </c>
      <c r="I11" s="13" t="s">
        <v>482</v>
      </c>
    </row>
    <row r="12" customFormat="false" ht="15" hidden="false" customHeight="true" outlineLevel="0" collapsed="false">
      <c r="A12" s="97" t="s">
        <v>483</v>
      </c>
      <c r="B12" s="79" t="s">
        <v>484</v>
      </c>
      <c r="C12" s="65" t="n">
        <v>3</v>
      </c>
      <c r="D12" s="98" t="n">
        <v>0.011</v>
      </c>
      <c r="E12" s="101" t="n">
        <v>0.68</v>
      </c>
      <c r="F12" s="65" t="s">
        <v>367</v>
      </c>
      <c r="G12" s="25" t="s">
        <v>485</v>
      </c>
      <c r="H12" s="25" t="s">
        <v>486</v>
      </c>
      <c r="I12" s="21" t="s">
        <v>487</v>
      </c>
    </row>
    <row r="13" customFormat="false" ht="15" hidden="false" customHeight="true" outlineLevel="0" collapsed="false">
      <c r="A13" s="94" t="s">
        <v>488</v>
      </c>
      <c r="B13" s="76" t="s">
        <v>489</v>
      </c>
      <c r="C13" s="20" t="n">
        <v>2</v>
      </c>
      <c r="D13" s="95" t="n">
        <v>0.002</v>
      </c>
      <c r="E13" s="96" t="n">
        <v>0.83</v>
      </c>
      <c r="F13" s="31" t="s">
        <v>370</v>
      </c>
      <c r="G13" s="17" t="s">
        <v>490</v>
      </c>
      <c r="H13" s="17" t="s">
        <v>491</v>
      </c>
      <c r="I13" s="13" t="s">
        <v>492</v>
      </c>
    </row>
    <row r="14" customFormat="false" ht="15" hidden="false" customHeight="true" outlineLevel="0" collapsed="false">
      <c r="A14" s="97" t="s">
        <v>493</v>
      </c>
      <c r="B14" s="79" t="s">
        <v>494</v>
      </c>
      <c r="C14" s="65" t="n">
        <v>1</v>
      </c>
      <c r="D14" s="98" t="n">
        <v>0.004</v>
      </c>
      <c r="E14" s="99" t="n">
        <v>0.81</v>
      </c>
      <c r="F14" s="33" t="s">
        <v>370</v>
      </c>
      <c r="G14" s="25" t="s">
        <v>447</v>
      </c>
      <c r="H14" s="25" t="s">
        <v>495</v>
      </c>
      <c r="I14" s="21" t="s">
        <v>496</v>
      </c>
    </row>
    <row r="15" customFormat="false" ht="15" hidden="false" customHeight="true" outlineLevel="0" collapsed="false">
      <c r="A15" s="94" t="s">
        <v>497</v>
      </c>
      <c r="B15" s="76" t="s">
        <v>498</v>
      </c>
      <c r="C15" s="20" t="n">
        <v>2</v>
      </c>
      <c r="D15" s="95" t="n">
        <v>0.003</v>
      </c>
      <c r="E15" s="102" t="n">
        <v>0.79</v>
      </c>
      <c r="F15" s="31" t="s">
        <v>370</v>
      </c>
      <c r="G15" s="17" t="s">
        <v>499</v>
      </c>
      <c r="H15" s="17" t="s">
        <v>500</v>
      </c>
      <c r="I15" s="13" t="s">
        <v>501</v>
      </c>
    </row>
    <row r="16" customFormat="false" ht="15" hidden="false" customHeight="true" outlineLevel="0" collapsed="false">
      <c r="A16" s="97" t="s">
        <v>502</v>
      </c>
      <c r="B16" s="79" t="s">
        <v>503</v>
      </c>
      <c r="C16" s="65" t="n">
        <v>0</v>
      </c>
      <c r="D16" s="98" t="n">
        <v>0.009</v>
      </c>
      <c r="E16" s="100" t="n">
        <v>0.71</v>
      </c>
      <c r="F16" s="65" t="s">
        <v>367</v>
      </c>
      <c r="G16" s="25" t="s">
        <v>504</v>
      </c>
      <c r="H16" s="25" t="s">
        <v>505</v>
      </c>
      <c r="I16" s="21" t="s">
        <v>506</v>
      </c>
    </row>
    <row r="17" customFormat="false" ht="15" hidden="false" customHeight="true" outlineLevel="0" collapsed="false">
      <c r="A17" s="94" t="s">
        <v>507</v>
      </c>
      <c r="B17" s="76" t="s">
        <v>508</v>
      </c>
      <c r="C17" s="20" t="n">
        <v>5</v>
      </c>
      <c r="D17" s="95" t="n">
        <v>0.014</v>
      </c>
      <c r="E17" s="103" t="n">
        <v>0.65</v>
      </c>
      <c r="F17" s="20" t="s">
        <v>367</v>
      </c>
      <c r="G17" s="17" t="s">
        <v>471</v>
      </c>
      <c r="H17" s="17" t="s">
        <v>509</v>
      </c>
      <c r="I17" s="13" t="s">
        <v>510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2"/>
  </cols>
  <sheetData>
    <row r="1" customFormat="false" ht="15" hidden="false" customHeight="true" outlineLevel="0" collapsed="false">
      <c r="A1" s="35" t="s">
        <v>511</v>
      </c>
      <c r="B1" s="35"/>
      <c r="C1" s="35"/>
      <c r="D1" s="35"/>
      <c r="E1" s="35"/>
      <c r="F1" s="35"/>
      <c r="G1" s="35"/>
    </row>
    <row r="3" customFormat="false" ht="15" hidden="false" customHeight="true" outlineLevel="0" collapsed="false">
      <c r="A3" s="104" t="s">
        <v>512</v>
      </c>
      <c r="B3" s="104"/>
      <c r="C3" s="104"/>
      <c r="D3" s="104"/>
      <c r="E3" s="104"/>
      <c r="F3" s="104"/>
      <c r="G3" s="104"/>
    </row>
    <row r="4" customFormat="false" ht="15" hidden="false" customHeight="true" outlineLevel="0" collapsed="false">
      <c r="A4" s="12" t="s">
        <v>513</v>
      </c>
      <c r="B4" s="12" t="s">
        <v>514</v>
      </c>
      <c r="C4" s="12" t="s">
        <v>515</v>
      </c>
      <c r="D4" s="12" t="s">
        <v>436</v>
      </c>
      <c r="E4" s="12" t="s">
        <v>516</v>
      </c>
      <c r="F4" s="12" t="s">
        <v>517</v>
      </c>
      <c r="G4" s="12" t="s">
        <v>518</v>
      </c>
    </row>
    <row r="5" customFormat="false" ht="15" hidden="false" customHeight="true" outlineLevel="0" collapsed="false">
      <c r="A5" s="105" t="s">
        <v>519</v>
      </c>
      <c r="B5" s="105" t="n">
        <v>50</v>
      </c>
      <c r="C5" s="17" t="s">
        <v>520</v>
      </c>
      <c r="D5" s="106" t="s">
        <v>521</v>
      </c>
      <c r="E5" s="18" t="s">
        <v>522</v>
      </c>
      <c r="F5" s="20" t="s">
        <v>523</v>
      </c>
      <c r="G5" s="17" t="s">
        <v>524</v>
      </c>
    </row>
    <row r="6" customFormat="false" ht="15" hidden="false" customHeight="true" outlineLevel="0" collapsed="false">
      <c r="A6" s="107" t="s">
        <v>525</v>
      </c>
      <c r="B6" s="108" t="n">
        <f aca="false">B5*0.008</f>
        <v>0.4</v>
      </c>
      <c r="C6" s="25" t="s">
        <v>526</v>
      </c>
      <c r="D6" s="33" t="s">
        <v>370</v>
      </c>
      <c r="E6" s="26" t="s">
        <v>522</v>
      </c>
      <c r="F6" s="65" t="s">
        <v>527</v>
      </c>
      <c r="G6" s="33" t="s">
        <v>528</v>
      </c>
    </row>
    <row r="7" customFormat="false" ht="15" hidden="false" customHeight="true" outlineLevel="0" collapsed="false">
      <c r="A7" s="105" t="s">
        <v>529</v>
      </c>
      <c r="B7" s="105" t="n">
        <v>400</v>
      </c>
      <c r="C7" s="17" t="s">
        <v>530</v>
      </c>
      <c r="D7" s="31" t="s">
        <v>370</v>
      </c>
      <c r="E7" s="18" t="s">
        <v>531</v>
      </c>
      <c r="F7" s="20" t="s">
        <v>532</v>
      </c>
      <c r="G7" s="73" t="s">
        <v>533</v>
      </c>
    </row>
    <row r="8" customFormat="false" ht="15" hidden="false" customHeight="true" outlineLevel="0" collapsed="false">
      <c r="A8" s="107" t="s">
        <v>534</v>
      </c>
      <c r="B8" s="109" t="n">
        <v>-0.15</v>
      </c>
      <c r="C8" s="25" t="s">
        <v>535</v>
      </c>
      <c r="D8" s="33" t="s">
        <v>370</v>
      </c>
      <c r="E8" s="26" t="s">
        <v>536</v>
      </c>
      <c r="F8" s="65" t="s">
        <v>446</v>
      </c>
      <c r="G8" s="55" t="s">
        <v>533</v>
      </c>
    </row>
    <row r="9" customFormat="false" ht="15" hidden="false" customHeight="true" outlineLevel="0" collapsed="false">
      <c r="A9" s="105" t="s">
        <v>537</v>
      </c>
      <c r="B9" s="110" t="n">
        <f aca="false">B6*0.15</f>
        <v>0.06</v>
      </c>
      <c r="C9" s="17" t="s">
        <v>538</v>
      </c>
      <c r="D9" s="20" t="s">
        <v>367</v>
      </c>
      <c r="E9" s="18" t="s">
        <v>539</v>
      </c>
      <c r="F9" s="20" t="s">
        <v>540</v>
      </c>
      <c r="G9" s="73" t="s">
        <v>533</v>
      </c>
    </row>
    <row r="10" customFormat="false" ht="15" hidden="false" customHeight="true" outlineLevel="0" collapsed="false">
      <c r="A10" s="107" t="s">
        <v>541</v>
      </c>
      <c r="B10" s="108" t="n">
        <f aca="false">B6*0.5</f>
        <v>0.2</v>
      </c>
      <c r="C10" s="25" t="s">
        <v>538</v>
      </c>
      <c r="D10" s="33" t="s">
        <v>370</v>
      </c>
      <c r="E10" s="26" t="s">
        <v>531</v>
      </c>
      <c r="F10" s="65" t="s">
        <v>542</v>
      </c>
      <c r="G10" s="33" t="s">
        <v>528</v>
      </c>
    </row>
    <row r="11" customFormat="false" ht="15" hidden="false" customHeight="true" outlineLevel="0" collapsed="false">
      <c r="A11" s="105" t="s">
        <v>543</v>
      </c>
      <c r="B11" s="111" t="n">
        <v>-1.2</v>
      </c>
      <c r="C11" s="17" t="s">
        <v>544</v>
      </c>
      <c r="D11" s="31" t="s">
        <v>370</v>
      </c>
      <c r="E11" s="18" t="s">
        <v>545</v>
      </c>
      <c r="F11" s="20" t="s">
        <v>546</v>
      </c>
      <c r="G11" s="73" t="s">
        <v>533</v>
      </c>
    </row>
    <row r="12" customFormat="false" ht="15" hidden="false" customHeight="true" outlineLevel="0" collapsed="false">
      <c r="A12" s="107" t="s">
        <v>547</v>
      </c>
      <c r="B12" s="109" t="n">
        <v>-0.8</v>
      </c>
      <c r="C12" s="25" t="s">
        <v>544</v>
      </c>
      <c r="D12" s="65" t="s">
        <v>367</v>
      </c>
      <c r="E12" s="26" t="s">
        <v>536</v>
      </c>
      <c r="F12" s="65" t="s">
        <v>548</v>
      </c>
      <c r="G12" s="55" t="s">
        <v>533</v>
      </c>
    </row>
    <row r="13" customFormat="false" ht="15" hidden="false" customHeight="true" outlineLevel="0" collapsed="false">
      <c r="A13" s="105" t="s">
        <v>549</v>
      </c>
      <c r="B13" s="110" t="n">
        <f aca="false">B6*0.3</f>
        <v>0.12</v>
      </c>
      <c r="C13" s="17" t="s">
        <v>538</v>
      </c>
      <c r="D13" s="20" t="s">
        <v>367</v>
      </c>
      <c r="E13" s="18" t="s">
        <v>545</v>
      </c>
      <c r="F13" s="20" t="s">
        <v>550</v>
      </c>
      <c r="G13" s="31" t="s">
        <v>528</v>
      </c>
    </row>
    <row r="14" customFormat="false" ht="15" hidden="false" customHeight="true" outlineLevel="0" collapsed="false">
      <c r="A14" s="107" t="s">
        <v>551</v>
      </c>
      <c r="B14" s="109" t="n">
        <v>-0.3</v>
      </c>
      <c r="C14" s="25" t="s">
        <v>544</v>
      </c>
      <c r="D14" s="65" t="s">
        <v>367</v>
      </c>
      <c r="E14" s="26" t="s">
        <v>536</v>
      </c>
      <c r="F14" s="65" t="s">
        <v>552</v>
      </c>
      <c r="G14" s="55" t="s">
        <v>533</v>
      </c>
    </row>
    <row r="15" customFormat="false" ht="15" hidden="false" customHeight="true" outlineLevel="0" collapsed="false">
      <c r="A15" s="105" t="s">
        <v>553</v>
      </c>
      <c r="B15" s="111" t="n">
        <v>0.76</v>
      </c>
      <c r="C15" s="17" t="s">
        <v>554</v>
      </c>
      <c r="D15" s="31" t="s">
        <v>370</v>
      </c>
      <c r="E15" s="18" t="s">
        <v>555</v>
      </c>
      <c r="F15" s="20" t="s">
        <v>556</v>
      </c>
      <c r="G15" s="17" t="s">
        <v>524</v>
      </c>
    </row>
    <row r="18" customFormat="false" ht="15" hidden="false" customHeight="true" outlineLevel="0" collapsed="false">
      <c r="A18" s="112" t="s">
        <v>557</v>
      </c>
      <c r="B18" s="112"/>
      <c r="C18" s="112"/>
      <c r="D18" s="112"/>
      <c r="E18" s="112"/>
      <c r="F18" s="112"/>
      <c r="G18" s="112"/>
    </row>
    <row r="19" customFormat="false" ht="15" hidden="false" customHeight="true" outlineLevel="0" collapsed="false">
      <c r="A19" s="12" t="s">
        <v>513</v>
      </c>
      <c r="B19" s="12" t="s">
        <v>514</v>
      </c>
      <c r="C19" s="12" t="s">
        <v>515</v>
      </c>
      <c r="D19" s="12" t="s">
        <v>436</v>
      </c>
      <c r="E19" s="12" t="s">
        <v>516</v>
      </c>
      <c r="F19" s="12" t="s">
        <v>517</v>
      </c>
      <c r="G19" s="12" t="s">
        <v>518</v>
      </c>
    </row>
    <row r="20" customFormat="false" ht="15" hidden="false" customHeight="true" outlineLevel="0" collapsed="false">
      <c r="A20" s="107" t="s">
        <v>558</v>
      </c>
      <c r="B20" s="107" t="n">
        <v>10</v>
      </c>
      <c r="C20" s="25" t="s">
        <v>559</v>
      </c>
      <c r="D20" s="113" t="s">
        <v>521</v>
      </c>
      <c r="E20" s="26" t="s">
        <v>522</v>
      </c>
      <c r="F20" s="65" t="s">
        <v>523</v>
      </c>
      <c r="G20" s="25" t="s">
        <v>524</v>
      </c>
    </row>
    <row r="21" customFormat="false" ht="15" hidden="false" customHeight="true" outlineLevel="0" collapsed="false">
      <c r="A21" s="105" t="s">
        <v>560</v>
      </c>
      <c r="B21" s="105" t="n">
        <v>-4</v>
      </c>
      <c r="C21" s="17" t="s">
        <v>559</v>
      </c>
      <c r="D21" s="31" t="s">
        <v>370</v>
      </c>
      <c r="E21" s="18" t="s">
        <v>539</v>
      </c>
      <c r="F21" s="20" t="s">
        <v>540</v>
      </c>
      <c r="G21" s="73" t="s">
        <v>533</v>
      </c>
    </row>
    <row r="22" customFormat="false" ht="15" hidden="false" customHeight="true" outlineLevel="0" collapsed="false">
      <c r="A22" s="107" t="s">
        <v>561</v>
      </c>
      <c r="B22" s="107" t="n">
        <v>-1.2</v>
      </c>
      <c r="C22" s="25" t="s">
        <v>562</v>
      </c>
      <c r="D22" s="33" t="s">
        <v>370</v>
      </c>
      <c r="E22" s="26" t="s">
        <v>522</v>
      </c>
      <c r="F22" s="65" t="s">
        <v>552</v>
      </c>
      <c r="G22" s="55" t="s">
        <v>533</v>
      </c>
    </row>
    <row r="23" customFormat="false" ht="15" hidden="false" customHeight="true" outlineLevel="0" collapsed="false">
      <c r="A23" s="105" t="s">
        <v>563</v>
      </c>
      <c r="B23" s="105" t="n">
        <v>-0.8</v>
      </c>
      <c r="C23" s="17" t="s">
        <v>562</v>
      </c>
      <c r="D23" s="31" t="s">
        <v>370</v>
      </c>
      <c r="E23" s="18" t="s">
        <v>522</v>
      </c>
      <c r="F23" s="20" t="s">
        <v>564</v>
      </c>
      <c r="G23" s="73" t="s">
        <v>533</v>
      </c>
    </row>
    <row r="24" customFormat="false" ht="15" hidden="false" customHeight="true" outlineLevel="0" collapsed="false">
      <c r="A24" s="107" t="s">
        <v>565</v>
      </c>
      <c r="B24" s="107" t="n">
        <v>-0.5</v>
      </c>
      <c r="C24" s="25" t="s">
        <v>562</v>
      </c>
      <c r="D24" s="65" t="s">
        <v>367</v>
      </c>
      <c r="E24" s="26" t="s">
        <v>522</v>
      </c>
      <c r="F24" s="65" t="s">
        <v>566</v>
      </c>
      <c r="G24" s="55" t="s">
        <v>533</v>
      </c>
    </row>
    <row r="25" customFormat="false" ht="15" hidden="false" customHeight="true" outlineLevel="0" collapsed="false">
      <c r="A25" s="105" t="s">
        <v>567</v>
      </c>
      <c r="B25" s="105" t="n">
        <v>-0.3</v>
      </c>
      <c r="C25" s="17" t="s">
        <v>562</v>
      </c>
      <c r="D25" s="20" t="s">
        <v>367</v>
      </c>
      <c r="E25" s="18" t="s">
        <v>568</v>
      </c>
      <c r="F25" s="20" t="s">
        <v>569</v>
      </c>
      <c r="G25" s="73" t="s">
        <v>533</v>
      </c>
    </row>
    <row r="26" customFormat="false" ht="15" hidden="false" customHeight="true" outlineLevel="0" collapsed="false">
      <c r="A26" s="107" t="s">
        <v>570</v>
      </c>
      <c r="B26" s="107" t="n">
        <v>1.5</v>
      </c>
      <c r="C26" s="25" t="s">
        <v>520</v>
      </c>
      <c r="D26" s="33" t="s">
        <v>370</v>
      </c>
      <c r="E26" s="26" t="s">
        <v>571</v>
      </c>
      <c r="F26" s="65" t="s">
        <v>572</v>
      </c>
      <c r="G26" s="55" t="s">
        <v>533</v>
      </c>
    </row>
    <row r="27" customFormat="false" ht="15" hidden="false" customHeight="true" outlineLevel="0" collapsed="false">
      <c r="A27" s="105" t="s">
        <v>573</v>
      </c>
      <c r="B27" s="105" t="n">
        <v>0.65</v>
      </c>
      <c r="C27" s="17" t="s">
        <v>574</v>
      </c>
      <c r="D27" s="20" t="s">
        <v>367</v>
      </c>
      <c r="E27" s="18" t="s">
        <v>575</v>
      </c>
      <c r="F27" s="20" t="s">
        <v>576</v>
      </c>
      <c r="G27" s="73" t="s">
        <v>533</v>
      </c>
    </row>
    <row r="28" customFormat="false" ht="15" hidden="false" customHeight="true" outlineLevel="0" collapsed="false">
      <c r="A28" s="107" t="s">
        <v>577</v>
      </c>
      <c r="B28" s="108" t="n">
        <f aca="false">B20*0.5</f>
        <v>5</v>
      </c>
      <c r="C28" s="25" t="s">
        <v>578</v>
      </c>
      <c r="D28" s="33" t="s">
        <v>370</v>
      </c>
      <c r="E28" s="26" t="s">
        <v>531</v>
      </c>
      <c r="F28" s="65" t="s">
        <v>542</v>
      </c>
      <c r="G28" s="33" t="s">
        <v>528</v>
      </c>
    </row>
    <row r="29" customFormat="false" ht="15" hidden="false" customHeight="true" outlineLevel="0" collapsed="false">
      <c r="A29" s="105" t="s">
        <v>579</v>
      </c>
      <c r="B29" s="110" t="n">
        <f aca="false">B20*0.3</f>
        <v>3</v>
      </c>
      <c r="C29" s="17" t="s">
        <v>578</v>
      </c>
      <c r="D29" s="20" t="s">
        <v>367</v>
      </c>
      <c r="E29" s="18" t="s">
        <v>531</v>
      </c>
      <c r="F29" s="20" t="s">
        <v>550</v>
      </c>
      <c r="G29" s="31" t="s">
        <v>528</v>
      </c>
    </row>
    <row r="30" customFormat="false" ht="15" hidden="false" customHeight="true" outlineLevel="0" collapsed="false">
      <c r="A30" s="107" t="s">
        <v>580</v>
      </c>
      <c r="B30" s="107" t="n">
        <v>-0.4</v>
      </c>
      <c r="C30" s="25" t="s">
        <v>581</v>
      </c>
      <c r="D30" s="33" t="s">
        <v>370</v>
      </c>
      <c r="E30" s="26" t="s">
        <v>575</v>
      </c>
      <c r="F30" s="65" t="s">
        <v>582</v>
      </c>
      <c r="G30" s="55" t="s">
        <v>533</v>
      </c>
    </row>
    <row r="31" customFormat="false" ht="15" hidden="false" customHeight="true" outlineLevel="0" collapsed="false">
      <c r="A31" s="105" t="s">
        <v>553</v>
      </c>
      <c r="B31" s="105" t="n">
        <v>0.74</v>
      </c>
      <c r="C31" s="17" t="s">
        <v>554</v>
      </c>
      <c r="D31" s="31" t="s">
        <v>370</v>
      </c>
      <c r="E31" s="18" t="s">
        <v>555</v>
      </c>
      <c r="F31" s="20" t="s">
        <v>556</v>
      </c>
      <c r="G31" s="17" t="s">
        <v>524</v>
      </c>
    </row>
    <row r="34" customFormat="false" ht="15" hidden="false" customHeight="true" outlineLevel="0" collapsed="false">
      <c r="A34" s="104" t="s">
        <v>583</v>
      </c>
      <c r="B34" s="104"/>
      <c r="C34" s="104"/>
      <c r="D34" s="104"/>
      <c r="E34" s="104"/>
      <c r="F34" s="104"/>
      <c r="G34" s="104"/>
    </row>
    <row r="35" customFormat="false" ht="15" hidden="false" customHeight="true" outlineLevel="0" collapsed="false">
      <c r="A35" s="12" t="s">
        <v>513</v>
      </c>
      <c r="B35" s="12" t="s">
        <v>514</v>
      </c>
      <c r="C35" s="12" t="s">
        <v>515</v>
      </c>
      <c r="D35" s="12" t="s">
        <v>436</v>
      </c>
      <c r="E35" s="12" t="s">
        <v>516</v>
      </c>
      <c r="F35" s="12" t="s">
        <v>517</v>
      </c>
      <c r="G35" s="12" t="s">
        <v>518</v>
      </c>
    </row>
    <row r="36" customFormat="false" ht="15" hidden="false" customHeight="true" outlineLevel="0" collapsed="false">
      <c r="A36" s="107" t="s">
        <v>584</v>
      </c>
      <c r="B36" s="107" t="n">
        <v>2</v>
      </c>
      <c r="C36" s="25" t="s">
        <v>585</v>
      </c>
      <c r="D36" s="113" t="s">
        <v>521</v>
      </c>
      <c r="E36" s="26" t="s">
        <v>522</v>
      </c>
      <c r="F36" s="65" t="s">
        <v>465</v>
      </c>
      <c r="G36" s="25" t="s">
        <v>524</v>
      </c>
    </row>
    <row r="37" customFormat="false" ht="15" hidden="false" customHeight="true" outlineLevel="0" collapsed="false">
      <c r="A37" s="105" t="s">
        <v>586</v>
      </c>
      <c r="B37" s="105" t="n">
        <v>-5</v>
      </c>
      <c r="C37" s="17" t="s">
        <v>587</v>
      </c>
      <c r="D37" s="31" t="s">
        <v>370</v>
      </c>
      <c r="E37" s="18" t="s">
        <v>588</v>
      </c>
      <c r="F37" s="20" t="s">
        <v>589</v>
      </c>
      <c r="G37" s="73" t="s">
        <v>533</v>
      </c>
    </row>
    <row r="38" customFormat="false" ht="15" hidden="false" customHeight="true" outlineLevel="0" collapsed="false">
      <c r="A38" s="107" t="s">
        <v>590</v>
      </c>
      <c r="B38" s="109" t="n">
        <v>-3.6</v>
      </c>
      <c r="C38" s="25" t="s">
        <v>587</v>
      </c>
      <c r="D38" s="33" t="s">
        <v>370</v>
      </c>
      <c r="E38" s="26" t="s">
        <v>588</v>
      </c>
      <c r="F38" s="65" t="s">
        <v>591</v>
      </c>
      <c r="G38" s="55" t="s">
        <v>533</v>
      </c>
    </row>
    <row r="39" customFormat="false" ht="15" hidden="false" customHeight="true" outlineLevel="0" collapsed="false">
      <c r="A39" s="105" t="s">
        <v>592</v>
      </c>
      <c r="B39" s="111" t="n">
        <v>-4</v>
      </c>
      <c r="C39" s="17" t="s">
        <v>587</v>
      </c>
      <c r="D39" s="31" t="s">
        <v>370</v>
      </c>
      <c r="E39" s="18" t="s">
        <v>593</v>
      </c>
      <c r="F39" s="20" t="s">
        <v>594</v>
      </c>
      <c r="G39" s="73" t="s">
        <v>533</v>
      </c>
    </row>
    <row r="40" customFormat="false" ht="15" hidden="false" customHeight="true" outlineLevel="0" collapsed="false">
      <c r="A40" s="107" t="s">
        <v>595</v>
      </c>
      <c r="B40" s="109" t="n">
        <v>-1.5</v>
      </c>
      <c r="C40" s="25" t="s">
        <v>587</v>
      </c>
      <c r="D40" s="33" t="s">
        <v>370</v>
      </c>
      <c r="E40" s="26" t="s">
        <v>596</v>
      </c>
      <c r="F40" s="65" t="s">
        <v>597</v>
      </c>
      <c r="G40" s="55" t="s">
        <v>533</v>
      </c>
    </row>
    <row r="41" customFormat="false" ht="15" hidden="false" customHeight="true" outlineLevel="0" collapsed="false">
      <c r="A41" s="105" t="s">
        <v>598</v>
      </c>
      <c r="B41" s="111" t="n">
        <v>-1</v>
      </c>
      <c r="C41" s="17" t="s">
        <v>587</v>
      </c>
      <c r="D41" s="20" t="s">
        <v>367</v>
      </c>
      <c r="E41" s="18" t="s">
        <v>596</v>
      </c>
      <c r="F41" s="20" t="s">
        <v>599</v>
      </c>
      <c r="G41" s="73" t="s">
        <v>533</v>
      </c>
    </row>
    <row r="42" customFormat="false" ht="15" hidden="false" customHeight="true" outlineLevel="0" collapsed="false">
      <c r="A42" s="107" t="s">
        <v>600</v>
      </c>
      <c r="B42" s="109" t="n">
        <v>-0.8</v>
      </c>
      <c r="C42" s="25" t="s">
        <v>587</v>
      </c>
      <c r="D42" s="65" t="s">
        <v>367</v>
      </c>
      <c r="E42" s="26" t="s">
        <v>601</v>
      </c>
      <c r="F42" s="65" t="s">
        <v>602</v>
      </c>
      <c r="G42" s="55" t="s">
        <v>533</v>
      </c>
    </row>
    <row r="43" customFormat="false" ht="15" hidden="false" customHeight="true" outlineLevel="0" collapsed="false">
      <c r="A43" s="105" t="s">
        <v>603</v>
      </c>
      <c r="B43" s="111" t="n">
        <v>-0.6</v>
      </c>
      <c r="C43" s="17" t="s">
        <v>587</v>
      </c>
      <c r="D43" s="20" t="s">
        <v>367</v>
      </c>
      <c r="E43" s="18" t="s">
        <v>601</v>
      </c>
      <c r="F43" s="20" t="s">
        <v>604</v>
      </c>
      <c r="G43" s="73" t="s">
        <v>533</v>
      </c>
    </row>
    <row r="44" customFormat="false" ht="15" hidden="false" customHeight="true" outlineLevel="0" collapsed="false">
      <c r="A44" s="107" t="s">
        <v>605</v>
      </c>
      <c r="B44" s="109" t="n">
        <v>-2</v>
      </c>
      <c r="C44" s="25" t="s">
        <v>587</v>
      </c>
      <c r="D44" s="33" t="s">
        <v>370</v>
      </c>
      <c r="E44" s="26" t="s">
        <v>593</v>
      </c>
      <c r="F44" s="65" t="s">
        <v>606</v>
      </c>
      <c r="G44" s="55" t="s">
        <v>533</v>
      </c>
    </row>
    <row r="45" customFormat="false" ht="15" hidden="false" customHeight="true" outlineLevel="0" collapsed="false">
      <c r="A45" s="105" t="s">
        <v>607</v>
      </c>
      <c r="B45" s="111" t="n">
        <v>-1.8</v>
      </c>
      <c r="C45" s="17" t="s">
        <v>587</v>
      </c>
      <c r="D45" s="20" t="s">
        <v>367</v>
      </c>
      <c r="E45" s="18" t="s">
        <v>608</v>
      </c>
      <c r="F45" s="20" t="s">
        <v>609</v>
      </c>
      <c r="G45" s="73" t="s">
        <v>533</v>
      </c>
    </row>
    <row r="46" customFormat="false" ht="15" hidden="false" customHeight="true" outlineLevel="0" collapsed="false">
      <c r="A46" s="107" t="s">
        <v>610</v>
      </c>
      <c r="B46" s="109" t="n">
        <v>-1.5</v>
      </c>
      <c r="C46" s="25" t="s">
        <v>587</v>
      </c>
      <c r="D46" s="33" t="s">
        <v>370</v>
      </c>
      <c r="E46" s="26" t="s">
        <v>611</v>
      </c>
      <c r="F46" s="65" t="s">
        <v>612</v>
      </c>
      <c r="G46" s="55" t="s">
        <v>533</v>
      </c>
    </row>
    <row r="47" customFormat="false" ht="15" hidden="false" customHeight="true" outlineLevel="0" collapsed="false">
      <c r="A47" s="105" t="s">
        <v>553</v>
      </c>
      <c r="B47" s="111" t="n">
        <v>0.71</v>
      </c>
      <c r="C47" s="17" t="s">
        <v>554</v>
      </c>
      <c r="D47" s="31" t="s">
        <v>370</v>
      </c>
      <c r="E47" s="18" t="s">
        <v>555</v>
      </c>
      <c r="F47" s="20" t="s">
        <v>556</v>
      </c>
      <c r="G47" s="17" t="s">
        <v>524</v>
      </c>
    </row>
  </sheetData>
  <mergeCells count="4">
    <mergeCell ref="A1:G1"/>
    <mergeCell ref="A3:G3"/>
    <mergeCell ref="A18:G18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7" min="4" style="1" width="24"/>
    <col collapsed="false" customWidth="true" hidden="false" outlineLevel="0" max="8" min="8" style="1" width="28"/>
  </cols>
  <sheetData>
    <row r="1" customFormat="false" ht="15" hidden="false" customHeight="true" outlineLevel="0" collapsed="false">
      <c r="A1" s="35" t="s">
        <v>613</v>
      </c>
      <c r="B1" s="35"/>
      <c r="C1" s="35"/>
      <c r="D1" s="35"/>
      <c r="E1" s="35"/>
      <c r="F1" s="35"/>
      <c r="G1" s="35"/>
      <c r="H1" s="35"/>
    </row>
    <row r="2" customFormat="false" ht="15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614</v>
      </c>
      <c r="E2" s="12" t="s">
        <v>615</v>
      </c>
      <c r="F2" s="12" t="s">
        <v>616</v>
      </c>
      <c r="G2" s="12" t="s">
        <v>617</v>
      </c>
      <c r="H2" s="12" t="s">
        <v>618</v>
      </c>
    </row>
    <row r="3" customFormat="false" ht="15" hidden="false" customHeight="true" outlineLevel="0" collapsed="false">
      <c r="A3" s="13" t="s">
        <v>37</v>
      </c>
      <c r="B3" s="14" t="s">
        <v>38</v>
      </c>
      <c r="C3" s="15" t="s">
        <v>39</v>
      </c>
      <c r="D3" s="31" t="s">
        <v>619</v>
      </c>
      <c r="E3" s="31" t="s">
        <v>620</v>
      </c>
      <c r="F3" s="31" t="s">
        <v>621</v>
      </c>
      <c r="G3" s="31" t="s">
        <v>622</v>
      </c>
      <c r="H3" s="72" t="s">
        <v>623</v>
      </c>
    </row>
    <row r="4" customFormat="false" ht="15" hidden="false" customHeight="true" outlineLevel="0" collapsed="false">
      <c r="A4" s="21" t="s">
        <v>37</v>
      </c>
      <c r="B4" s="22" t="s">
        <v>47</v>
      </c>
      <c r="C4" s="23" t="s">
        <v>48</v>
      </c>
      <c r="D4" s="33" t="s">
        <v>624</v>
      </c>
      <c r="E4" s="33" t="s">
        <v>625</v>
      </c>
      <c r="F4" s="33" t="s">
        <v>626</v>
      </c>
      <c r="G4" s="33" t="s">
        <v>627</v>
      </c>
      <c r="H4" s="54" t="s">
        <v>628</v>
      </c>
    </row>
    <row r="5" customFormat="false" ht="15" hidden="false" customHeight="true" outlineLevel="0" collapsed="false">
      <c r="A5" s="13" t="s">
        <v>37</v>
      </c>
      <c r="B5" s="14" t="s">
        <v>56</v>
      </c>
      <c r="C5" s="15" t="s">
        <v>57</v>
      </c>
      <c r="D5" s="31" t="s">
        <v>629</v>
      </c>
      <c r="E5" s="31" t="s">
        <v>625</v>
      </c>
      <c r="F5" s="31" t="s">
        <v>630</v>
      </c>
      <c r="G5" s="31"/>
      <c r="H5" s="72" t="s">
        <v>631</v>
      </c>
    </row>
    <row r="6" customFormat="false" ht="15" hidden="false" customHeight="true" outlineLevel="0" collapsed="false">
      <c r="A6" s="21" t="s">
        <v>37</v>
      </c>
      <c r="B6" s="22" t="s">
        <v>64</v>
      </c>
      <c r="C6" s="23" t="s">
        <v>65</v>
      </c>
      <c r="D6" s="33" t="s">
        <v>632</v>
      </c>
      <c r="E6" s="33" t="s">
        <v>633</v>
      </c>
      <c r="F6" s="33" t="s">
        <v>634</v>
      </c>
      <c r="G6" s="33"/>
      <c r="H6" s="54" t="s">
        <v>635</v>
      </c>
    </row>
    <row r="7" customFormat="false" ht="15" hidden="false" customHeight="true" outlineLevel="0" collapsed="false">
      <c r="A7" s="13" t="s">
        <v>72</v>
      </c>
      <c r="B7" s="14" t="s">
        <v>27</v>
      </c>
      <c r="C7" s="15" t="s">
        <v>73</v>
      </c>
      <c r="D7" s="31" t="s">
        <v>636</v>
      </c>
      <c r="E7" s="31" t="s">
        <v>637</v>
      </c>
      <c r="F7" s="31" t="s">
        <v>638</v>
      </c>
      <c r="G7" s="31" t="s">
        <v>639</v>
      </c>
      <c r="H7" s="72" t="s">
        <v>640</v>
      </c>
    </row>
    <row r="8" customFormat="false" ht="15" hidden="false" customHeight="true" outlineLevel="0" collapsed="false">
      <c r="A8" s="21" t="s">
        <v>72</v>
      </c>
      <c r="B8" s="22" t="s">
        <v>81</v>
      </c>
      <c r="C8" s="23" t="s">
        <v>82</v>
      </c>
      <c r="D8" s="33" t="s">
        <v>637</v>
      </c>
      <c r="E8" s="33" t="s">
        <v>641</v>
      </c>
      <c r="F8" s="33" t="s">
        <v>642</v>
      </c>
      <c r="G8" s="33" t="s">
        <v>632</v>
      </c>
      <c r="H8" s="54" t="s">
        <v>643</v>
      </c>
    </row>
    <row r="9" customFormat="false" ht="15" hidden="false" customHeight="true" outlineLevel="0" collapsed="false">
      <c r="A9" s="13" t="s">
        <v>72</v>
      </c>
      <c r="B9" s="14" t="s">
        <v>89</v>
      </c>
      <c r="C9" s="15" t="s">
        <v>90</v>
      </c>
      <c r="D9" s="31" t="s">
        <v>632</v>
      </c>
      <c r="E9" s="31" t="s">
        <v>644</v>
      </c>
      <c r="F9" s="31" t="s">
        <v>645</v>
      </c>
      <c r="G9" s="31" t="s">
        <v>627</v>
      </c>
      <c r="H9" s="72" t="s">
        <v>631</v>
      </c>
    </row>
    <row r="10" customFormat="false" ht="15" hidden="false" customHeight="true" outlineLevel="0" collapsed="false">
      <c r="A10" s="21" t="s">
        <v>72</v>
      </c>
      <c r="B10" s="22" t="s">
        <v>97</v>
      </c>
      <c r="C10" s="23" t="s">
        <v>98</v>
      </c>
      <c r="D10" s="33" t="s">
        <v>625</v>
      </c>
      <c r="E10" s="33" t="s">
        <v>646</v>
      </c>
      <c r="F10" s="33" t="s">
        <v>647</v>
      </c>
      <c r="G10" s="33" t="s">
        <v>648</v>
      </c>
      <c r="H10" s="54" t="s">
        <v>621</v>
      </c>
    </row>
    <row r="11" customFormat="false" ht="15" hidden="false" customHeight="true" outlineLevel="0" collapsed="false">
      <c r="A11" s="13" t="s">
        <v>72</v>
      </c>
      <c r="B11" s="14" t="s">
        <v>105</v>
      </c>
      <c r="C11" s="15" t="s">
        <v>106</v>
      </c>
      <c r="D11" s="31" t="s">
        <v>649</v>
      </c>
      <c r="E11" s="31" t="s">
        <v>650</v>
      </c>
      <c r="F11" s="31" t="s">
        <v>651</v>
      </c>
      <c r="G11" s="31" t="s">
        <v>632</v>
      </c>
      <c r="H11" s="72" t="s">
        <v>652</v>
      </c>
    </row>
    <row r="12" customFormat="false" ht="15" hidden="false" customHeight="true" outlineLevel="0" collapsed="false">
      <c r="A12" s="21" t="s">
        <v>72</v>
      </c>
      <c r="B12" s="22" t="s">
        <v>113</v>
      </c>
      <c r="C12" s="23" t="s">
        <v>114</v>
      </c>
      <c r="D12" s="33" t="s">
        <v>653</v>
      </c>
      <c r="E12" s="33" t="s">
        <v>654</v>
      </c>
      <c r="F12" s="33" t="s">
        <v>655</v>
      </c>
      <c r="G12" s="33" t="s">
        <v>656</v>
      </c>
      <c r="H12" s="54" t="s">
        <v>657</v>
      </c>
    </row>
    <row r="13" customFormat="false" ht="15" hidden="false" customHeight="true" outlineLevel="0" collapsed="false">
      <c r="A13" s="13" t="s">
        <v>122</v>
      </c>
      <c r="B13" s="14" t="s">
        <v>123</v>
      </c>
      <c r="C13" s="15" t="s">
        <v>124</v>
      </c>
      <c r="D13" s="31" t="s">
        <v>658</v>
      </c>
      <c r="E13" s="31" t="s">
        <v>659</v>
      </c>
      <c r="F13" s="31" t="s">
        <v>660</v>
      </c>
      <c r="G13" s="31" t="s">
        <v>661</v>
      </c>
      <c r="H13" s="72" t="s">
        <v>662</v>
      </c>
    </row>
    <row r="14" customFormat="false" ht="15" hidden="false" customHeight="true" outlineLevel="0" collapsed="false">
      <c r="A14" s="21" t="s">
        <v>122</v>
      </c>
      <c r="B14" s="22" t="s">
        <v>131</v>
      </c>
      <c r="C14" s="23" t="s">
        <v>132</v>
      </c>
      <c r="D14" s="33" t="s">
        <v>641</v>
      </c>
      <c r="E14" s="33" t="s">
        <v>663</v>
      </c>
      <c r="F14" s="33" t="s">
        <v>664</v>
      </c>
      <c r="G14" s="33" t="s">
        <v>665</v>
      </c>
      <c r="H14" s="54" t="s">
        <v>652</v>
      </c>
    </row>
    <row r="15" customFormat="false" ht="15" hidden="false" customHeight="true" outlineLevel="0" collapsed="false">
      <c r="A15" s="13" t="s">
        <v>122</v>
      </c>
      <c r="B15" s="14" t="s">
        <v>139</v>
      </c>
      <c r="C15" s="15" t="s">
        <v>140</v>
      </c>
      <c r="D15" s="31" t="s">
        <v>666</v>
      </c>
      <c r="E15" s="31" t="s">
        <v>667</v>
      </c>
      <c r="F15" s="31" t="s">
        <v>668</v>
      </c>
      <c r="G15" s="31"/>
      <c r="H15" s="72" t="s">
        <v>669</v>
      </c>
    </row>
    <row r="16" customFormat="false" ht="15" hidden="false" customHeight="true" outlineLevel="0" collapsed="false">
      <c r="A16" s="21" t="s">
        <v>122</v>
      </c>
      <c r="B16" s="22" t="s">
        <v>147</v>
      </c>
      <c r="C16" s="23" t="s">
        <v>148</v>
      </c>
      <c r="D16" s="33" t="s">
        <v>670</v>
      </c>
      <c r="E16" s="33" t="s">
        <v>671</v>
      </c>
      <c r="F16" s="33" t="s">
        <v>647</v>
      </c>
      <c r="G16" s="33" t="s">
        <v>672</v>
      </c>
      <c r="H16" s="54" t="s">
        <v>673</v>
      </c>
    </row>
    <row r="17" customFormat="false" ht="15" hidden="false" customHeight="true" outlineLevel="0" collapsed="false">
      <c r="A17" s="13" t="s">
        <v>155</v>
      </c>
      <c r="B17" s="14" t="s">
        <v>156</v>
      </c>
      <c r="C17" s="15" t="s">
        <v>157</v>
      </c>
      <c r="D17" s="31" t="s">
        <v>589</v>
      </c>
      <c r="E17" s="31" t="s">
        <v>674</v>
      </c>
      <c r="F17" s="31" t="s">
        <v>675</v>
      </c>
      <c r="G17" s="31" t="s">
        <v>676</v>
      </c>
      <c r="H17" s="72" t="s">
        <v>677</v>
      </c>
    </row>
    <row r="18" customFormat="false" ht="15" hidden="false" customHeight="true" outlineLevel="0" collapsed="false">
      <c r="A18" s="21" t="s">
        <v>155</v>
      </c>
      <c r="B18" s="22" t="s">
        <v>164</v>
      </c>
      <c r="C18" s="23" t="s">
        <v>165</v>
      </c>
      <c r="D18" s="33" t="s">
        <v>678</v>
      </c>
      <c r="E18" s="33" t="s">
        <v>625</v>
      </c>
      <c r="F18" s="33" t="s">
        <v>679</v>
      </c>
      <c r="G18" s="33" t="s">
        <v>680</v>
      </c>
      <c r="H18" s="54" t="s">
        <v>681</v>
      </c>
    </row>
    <row r="19" customFormat="false" ht="15" hidden="false" customHeight="true" outlineLevel="0" collapsed="false">
      <c r="A19" s="13" t="s">
        <v>155</v>
      </c>
      <c r="B19" s="14" t="s">
        <v>171</v>
      </c>
      <c r="C19" s="15" t="s">
        <v>172</v>
      </c>
      <c r="D19" s="31" t="s">
        <v>682</v>
      </c>
      <c r="E19" s="31" t="s">
        <v>683</v>
      </c>
      <c r="F19" s="31" t="s">
        <v>627</v>
      </c>
      <c r="G19" s="31"/>
      <c r="H19" s="72" t="s">
        <v>684</v>
      </c>
    </row>
    <row r="20" customFormat="false" ht="15" hidden="false" customHeight="true" outlineLevel="0" collapsed="false">
      <c r="A20" s="21" t="s">
        <v>155</v>
      </c>
      <c r="B20" s="22" t="s">
        <v>179</v>
      </c>
      <c r="C20" s="23" t="s">
        <v>180</v>
      </c>
      <c r="D20" s="33" t="s">
        <v>685</v>
      </c>
      <c r="E20" s="33" t="s">
        <v>594</v>
      </c>
      <c r="F20" s="33" t="s">
        <v>627</v>
      </c>
      <c r="G20" s="33" t="s">
        <v>625</v>
      </c>
      <c r="H20" s="54" t="s">
        <v>686</v>
      </c>
    </row>
    <row r="21" customFormat="false" ht="15" hidden="false" customHeight="true" outlineLevel="0" collapsed="false">
      <c r="A21" s="13" t="s">
        <v>155</v>
      </c>
      <c r="B21" s="14" t="s">
        <v>186</v>
      </c>
      <c r="C21" s="15" t="s">
        <v>187</v>
      </c>
      <c r="D21" s="31" t="s">
        <v>682</v>
      </c>
      <c r="E21" s="31" t="s">
        <v>687</v>
      </c>
      <c r="F21" s="31" t="s">
        <v>688</v>
      </c>
      <c r="G21" s="31" t="s">
        <v>689</v>
      </c>
      <c r="H21" s="72" t="s">
        <v>631</v>
      </c>
    </row>
    <row r="22" customFormat="false" ht="15" hidden="false" customHeight="true" outlineLevel="0" collapsed="false">
      <c r="A22" s="21" t="s">
        <v>155</v>
      </c>
      <c r="B22" s="22" t="s">
        <v>194</v>
      </c>
      <c r="C22" s="23" t="s">
        <v>195</v>
      </c>
      <c r="D22" s="33" t="s">
        <v>624</v>
      </c>
      <c r="E22" s="33" t="s">
        <v>674</v>
      </c>
      <c r="F22" s="33" t="s">
        <v>683</v>
      </c>
      <c r="G22" s="33" t="s">
        <v>690</v>
      </c>
      <c r="H22" s="54" t="s">
        <v>691</v>
      </c>
    </row>
    <row r="23" customFormat="false" ht="15" hidden="false" customHeight="true" outlineLevel="0" collapsed="false">
      <c r="A23" s="13" t="s">
        <v>202</v>
      </c>
      <c r="B23" s="14" t="s">
        <v>203</v>
      </c>
      <c r="C23" s="15" t="s">
        <v>204</v>
      </c>
      <c r="D23" s="31" t="s">
        <v>687</v>
      </c>
      <c r="E23" s="31" t="s">
        <v>692</v>
      </c>
      <c r="F23" s="31" t="s">
        <v>594</v>
      </c>
      <c r="G23" s="31" t="s">
        <v>639</v>
      </c>
      <c r="H23" s="72" t="s">
        <v>693</v>
      </c>
    </row>
    <row r="24" customFormat="false" ht="15" hidden="false" customHeight="true" outlineLevel="0" collapsed="false">
      <c r="A24" s="21" t="s">
        <v>202</v>
      </c>
      <c r="B24" s="22" t="s">
        <v>211</v>
      </c>
      <c r="C24" s="23" t="s">
        <v>212</v>
      </c>
      <c r="D24" s="33" t="s">
        <v>694</v>
      </c>
      <c r="E24" s="33" t="s">
        <v>627</v>
      </c>
      <c r="F24" s="33" t="s">
        <v>695</v>
      </c>
      <c r="G24" s="33"/>
      <c r="H24" s="54" t="s">
        <v>696</v>
      </c>
    </row>
    <row r="25" customFormat="false" ht="15" hidden="false" customHeight="true" outlineLevel="0" collapsed="false">
      <c r="A25" s="13" t="s">
        <v>202</v>
      </c>
      <c r="B25" s="14" t="s">
        <v>219</v>
      </c>
      <c r="C25" s="15" t="s">
        <v>220</v>
      </c>
      <c r="D25" s="31" t="s">
        <v>697</v>
      </c>
      <c r="E25" s="31" t="s">
        <v>632</v>
      </c>
      <c r="F25" s="31" t="s">
        <v>698</v>
      </c>
      <c r="G25" s="31" t="s">
        <v>624</v>
      </c>
      <c r="H25" s="72" t="s">
        <v>699</v>
      </c>
    </row>
    <row r="26" customFormat="false" ht="15" hidden="false" customHeight="true" outlineLevel="0" collapsed="false">
      <c r="A26" s="21" t="s">
        <v>202</v>
      </c>
      <c r="B26" s="22" t="s">
        <v>227</v>
      </c>
      <c r="C26" s="23" t="s">
        <v>228</v>
      </c>
      <c r="D26" s="33" t="s">
        <v>700</v>
      </c>
      <c r="E26" s="33" t="s">
        <v>701</v>
      </c>
      <c r="F26" s="33" t="s">
        <v>702</v>
      </c>
      <c r="G26" s="33" t="s">
        <v>703</v>
      </c>
      <c r="H26" s="54" t="s">
        <v>704</v>
      </c>
    </row>
    <row r="27" customFormat="false" ht="15" hidden="false" customHeight="true" outlineLevel="0" collapsed="false">
      <c r="A27" s="13" t="s">
        <v>202</v>
      </c>
      <c r="B27" s="14" t="s">
        <v>235</v>
      </c>
      <c r="C27" s="15" t="s">
        <v>236</v>
      </c>
      <c r="D27" s="31" t="s">
        <v>687</v>
      </c>
      <c r="E27" s="31" t="s">
        <v>705</v>
      </c>
      <c r="F27" s="31" t="s">
        <v>706</v>
      </c>
      <c r="G27" s="31" t="s">
        <v>634</v>
      </c>
      <c r="H27" s="72" t="s">
        <v>635</v>
      </c>
    </row>
    <row r="28" customFormat="false" ht="15" hidden="false" customHeight="true" outlineLevel="0" collapsed="false">
      <c r="A28" s="21" t="s">
        <v>202</v>
      </c>
      <c r="B28" s="22" t="s">
        <v>242</v>
      </c>
      <c r="C28" s="23" t="s">
        <v>243</v>
      </c>
      <c r="D28" s="33" t="s">
        <v>707</v>
      </c>
      <c r="E28" s="33" t="s">
        <v>632</v>
      </c>
      <c r="F28" s="33" t="s">
        <v>644</v>
      </c>
      <c r="G28" s="33" t="s">
        <v>625</v>
      </c>
      <c r="H28" s="54" t="s">
        <v>708</v>
      </c>
    </row>
    <row r="29" customFormat="false" ht="15" hidden="false" customHeight="true" outlineLevel="0" collapsed="false">
      <c r="A29" s="13" t="s">
        <v>202</v>
      </c>
      <c r="B29" s="14" t="s">
        <v>249</v>
      </c>
      <c r="C29" s="15" t="s">
        <v>250</v>
      </c>
      <c r="D29" s="31" t="s">
        <v>687</v>
      </c>
      <c r="E29" s="31" t="s">
        <v>709</v>
      </c>
      <c r="F29" s="31" t="s">
        <v>627</v>
      </c>
      <c r="G29" s="31" t="s">
        <v>710</v>
      </c>
      <c r="H29" s="72" t="s">
        <v>711</v>
      </c>
    </row>
    <row r="30" customFormat="false" ht="15" hidden="false" customHeight="true" outlineLevel="0" collapsed="false">
      <c r="A30" s="21" t="s">
        <v>257</v>
      </c>
      <c r="B30" s="22" t="s">
        <v>258</v>
      </c>
      <c r="C30" s="23" t="s">
        <v>259</v>
      </c>
      <c r="D30" s="33" t="s">
        <v>712</v>
      </c>
      <c r="E30" s="33" t="s">
        <v>713</v>
      </c>
      <c r="F30" s="33" t="s">
        <v>714</v>
      </c>
      <c r="G30" s="33" t="s">
        <v>715</v>
      </c>
      <c r="H30" s="54" t="s">
        <v>686</v>
      </c>
    </row>
    <row r="31" customFormat="false" ht="15" hidden="false" customHeight="true" outlineLevel="0" collapsed="false">
      <c r="A31" s="13" t="s">
        <v>257</v>
      </c>
      <c r="B31" s="14" t="s">
        <v>266</v>
      </c>
      <c r="C31" s="15" t="s">
        <v>267</v>
      </c>
      <c r="D31" s="31" t="s">
        <v>679</v>
      </c>
      <c r="E31" s="31" t="s">
        <v>632</v>
      </c>
      <c r="F31" s="31" t="s">
        <v>671</v>
      </c>
      <c r="G31" s="31" t="s">
        <v>647</v>
      </c>
      <c r="H31" s="72" t="s">
        <v>716</v>
      </c>
    </row>
    <row r="32" customFormat="false" ht="15" hidden="false" customHeight="true" outlineLevel="0" collapsed="false">
      <c r="A32" s="21" t="s">
        <v>257</v>
      </c>
      <c r="B32" s="22" t="s">
        <v>274</v>
      </c>
      <c r="C32" s="23" t="s">
        <v>275</v>
      </c>
      <c r="D32" s="33" t="s">
        <v>642</v>
      </c>
      <c r="E32" s="33" t="s">
        <v>655</v>
      </c>
      <c r="F32" s="33" t="s">
        <v>717</v>
      </c>
      <c r="G32" s="33" t="s">
        <v>718</v>
      </c>
      <c r="H32" s="54" t="s">
        <v>719</v>
      </c>
    </row>
    <row r="33" customFormat="false" ht="15" hidden="false" customHeight="true" outlineLevel="0" collapsed="false">
      <c r="A33" s="13" t="s">
        <v>257</v>
      </c>
      <c r="B33" s="14" t="s">
        <v>282</v>
      </c>
      <c r="C33" s="15" t="s">
        <v>283</v>
      </c>
      <c r="D33" s="31" t="s">
        <v>649</v>
      </c>
      <c r="E33" s="31" t="s">
        <v>632</v>
      </c>
      <c r="F33" s="31" t="s">
        <v>625</v>
      </c>
      <c r="G33" s="31" t="s">
        <v>720</v>
      </c>
      <c r="H33" s="72" t="s">
        <v>721</v>
      </c>
    </row>
    <row r="34" customFormat="false" ht="15" hidden="false" customHeight="true" outlineLevel="0" collapsed="false">
      <c r="A34" s="21" t="s">
        <v>257</v>
      </c>
      <c r="B34" s="22" t="s">
        <v>290</v>
      </c>
      <c r="C34" s="23" t="s">
        <v>291</v>
      </c>
      <c r="D34" s="33" t="s">
        <v>722</v>
      </c>
      <c r="E34" s="33" t="s">
        <v>550</v>
      </c>
      <c r="F34" s="33" t="s">
        <v>632</v>
      </c>
      <c r="G34" s="33" t="s">
        <v>720</v>
      </c>
      <c r="H34" s="54" t="s">
        <v>669</v>
      </c>
    </row>
    <row r="35" customFormat="false" ht="15" hidden="false" customHeight="true" outlineLevel="0" collapsed="false">
      <c r="A35" s="13" t="s">
        <v>257</v>
      </c>
      <c r="B35" s="14" t="s">
        <v>297</v>
      </c>
      <c r="C35" s="15" t="s">
        <v>298</v>
      </c>
      <c r="D35" s="31" t="s">
        <v>723</v>
      </c>
      <c r="E35" s="31" t="s">
        <v>718</v>
      </c>
      <c r="F35" s="31" t="s">
        <v>655</v>
      </c>
      <c r="G35" s="31" t="s">
        <v>647</v>
      </c>
      <c r="H35" s="72" t="s">
        <v>716</v>
      </c>
    </row>
    <row r="36" customFormat="false" ht="15" hidden="false" customHeight="true" outlineLevel="0" collapsed="false">
      <c r="A36" s="21" t="s">
        <v>305</v>
      </c>
      <c r="B36" s="22" t="s">
        <v>306</v>
      </c>
      <c r="C36" s="23" t="s">
        <v>307</v>
      </c>
      <c r="D36" s="33" t="s">
        <v>724</v>
      </c>
      <c r="E36" s="33" t="s">
        <v>649</v>
      </c>
      <c r="F36" s="33" t="s">
        <v>725</v>
      </c>
      <c r="G36" s="33" t="s">
        <v>726</v>
      </c>
      <c r="H36" s="54" t="s">
        <v>727</v>
      </c>
    </row>
    <row r="37" customFormat="false" ht="15" hidden="false" customHeight="true" outlineLevel="0" collapsed="false">
      <c r="A37" s="13" t="s">
        <v>305</v>
      </c>
      <c r="B37" s="14" t="s">
        <v>313</v>
      </c>
      <c r="C37" s="15" t="s">
        <v>314</v>
      </c>
      <c r="D37" s="31" t="s">
        <v>728</v>
      </c>
      <c r="E37" s="31" t="s">
        <v>729</v>
      </c>
      <c r="F37" s="31" t="s">
        <v>655</v>
      </c>
      <c r="G37" s="31"/>
      <c r="H37" s="72" t="s">
        <v>730</v>
      </c>
    </row>
    <row r="38" customFormat="false" ht="15" hidden="false" customHeight="true" outlineLevel="0" collapsed="false">
      <c r="A38" s="21" t="s">
        <v>305</v>
      </c>
      <c r="B38" s="22" t="s">
        <v>321</v>
      </c>
      <c r="C38" s="23" t="s">
        <v>322</v>
      </c>
      <c r="D38" s="33" t="s">
        <v>731</v>
      </c>
      <c r="E38" s="33" t="s">
        <v>724</v>
      </c>
      <c r="F38" s="33" t="s">
        <v>725</v>
      </c>
      <c r="G38" s="33" t="s">
        <v>632</v>
      </c>
      <c r="H38" s="54" t="s">
        <v>732</v>
      </c>
    </row>
    <row r="39" customFormat="false" ht="15" hidden="false" customHeight="true" outlineLevel="0" collapsed="false">
      <c r="A39" s="13" t="s">
        <v>305</v>
      </c>
      <c r="B39" s="14" t="s">
        <v>329</v>
      </c>
      <c r="C39" s="15" t="s">
        <v>330</v>
      </c>
      <c r="D39" s="31" t="s">
        <v>733</v>
      </c>
      <c r="E39" s="31" t="s">
        <v>665</v>
      </c>
      <c r="F39" s="31" t="s">
        <v>627</v>
      </c>
      <c r="G39" s="31" t="s">
        <v>724</v>
      </c>
      <c r="H39" s="72" t="s">
        <v>734</v>
      </c>
    </row>
    <row r="40" customFormat="false" ht="15" hidden="false" customHeight="true" outlineLevel="0" collapsed="false">
      <c r="A40" s="21" t="s">
        <v>305</v>
      </c>
      <c r="B40" s="22" t="s">
        <v>336</v>
      </c>
      <c r="C40" s="23" t="s">
        <v>337</v>
      </c>
      <c r="D40" s="33" t="s">
        <v>632</v>
      </c>
      <c r="E40" s="33" t="s">
        <v>735</v>
      </c>
      <c r="F40" s="33" t="s">
        <v>627</v>
      </c>
      <c r="G40" s="33" t="s">
        <v>647</v>
      </c>
      <c r="H40" s="54" t="s">
        <v>736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D3EE"/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4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35" t="s">
        <v>737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5" hidden="false" customHeight="true" outlineLevel="0" collapsed="false">
      <c r="A2" s="12" t="s">
        <v>738</v>
      </c>
      <c r="B2" s="12" t="s">
        <v>739</v>
      </c>
      <c r="C2" s="12" t="s">
        <v>740</v>
      </c>
      <c r="D2" s="12" t="s">
        <v>741</v>
      </c>
      <c r="E2" s="12" t="s">
        <v>742</v>
      </c>
      <c r="F2" s="12" t="s">
        <v>743</v>
      </c>
      <c r="G2" s="12" t="s">
        <v>744</v>
      </c>
      <c r="H2" s="12" t="s">
        <v>745</v>
      </c>
      <c r="I2" s="12" t="s">
        <v>746</v>
      </c>
      <c r="J2" s="12" t="s">
        <v>747</v>
      </c>
    </row>
    <row r="3" customFormat="false" ht="15" hidden="false" customHeight="true" outlineLevel="0" collapsed="false">
      <c r="A3" s="114" t="s">
        <v>748</v>
      </c>
      <c r="B3" s="115" t="n">
        <v>0</v>
      </c>
      <c r="C3" s="17" t="n">
        <v>50000</v>
      </c>
      <c r="D3" s="16" t="n">
        <v>50000</v>
      </c>
      <c r="E3" s="116" t="n">
        <f aca="false">B3*D3</f>
        <v>0</v>
      </c>
      <c r="F3" s="116" t="n">
        <f aca="false">E3*12</f>
        <v>0</v>
      </c>
      <c r="G3" s="17" t="s">
        <v>749</v>
      </c>
      <c r="H3" s="17" t="s">
        <v>750</v>
      </c>
      <c r="I3" s="18" t="s">
        <v>751</v>
      </c>
      <c r="J3" s="78" t="n">
        <v>0</v>
      </c>
    </row>
    <row r="4" customFormat="false" ht="15" hidden="false" customHeight="true" outlineLevel="0" collapsed="false">
      <c r="A4" s="117" t="s">
        <v>752</v>
      </c>
      <c r="B4" s="118" t="n">
        <v>29</v>
      </c>
      <c r="C4" s="25" t="n">
        <v>50000</v>
      </c>
      <c r="D4" s="24" t="n">
        <v>50000</v>
      </c>
      <c r="E4" s="119" t="n">
        <f aca="false">B4*D4</f>
        <v>1450000</v>
      </c>
      <c r="F4" s="119" t="n">
        <f aca="false">E4*12</f>
        <v>17400000</v>
      </c>
      <c r="G4" s="25" t="s">
        <v>753</v>
      </c>
      <c r="H4" s="25" t="s">
        <v>754</v>
      </c>
      <c r="I4" s="26" t="s">
        <v>755</v>
      </c>
      <c r="J4" s="81" t="n">
        <v>0.9</v>
      </c>
    </row>
    <row r="5" customFormat="false" ht="15" hidden="false" customHeight="true" outlineLevel="0" collapsed="false">
      <c r="A5" s="114" t="s">
        <v>756</v>
      </c>
      <c r="B5" s="115" t="n">
        <v>99</v>
      </c>
      <c r="C5" s="17" t="n">
        <v>5000</v>
      </c>
      <c r="D5" s="16" t="n">
        <v>5000</v>
      </c>
      <c r="E5" s="116" t="n">
        <f aca="false">B5*D5</f>
        <v>495000</v>
      </c>
      <c r="F5" s="116" t="n">
        <f aca="false">E5*12</f>
        <v>5940000</v>
      </c>
      <c r="G5" s="17" t="s">
        <v>753</v>
      </c>
      <c r="H5" s="17" t="s">
        <v>757</v>
      </c>
      <c r="I5" s="18" t="s">
        <v>758</v>
      </c>
      <c r="J5" s="78" t="n">
        <v>0.89</v>
      </c>
    </row>
    <row r="6" customFormat="false" ht="15" hidden="false" customHeight="true" outlineLevel="0" collapsed="false">
      <c r="A6" s="117" t="s">
        <v>759</v>
      </c>
      <c r="B6" s="118" t="n">
        <v>499</v>
      </c>
      <c r="C6" s="25" t="n">
        <v>500</v>
      </c>
      <c r="D6" s="24" t="n">
        <v>500</v>
      </c>
      <c r="E6" s="119" t="n">
        <f aca="false">B6*D6</f>
        <v>249500</v>
      </c>
      <c r="F6" s="119" t="n">
        <f aca="false">E6*12</f>
        <v>2994000</v>
      </c>
      <c r="G6" s="25" t="s">
        <v>753</v>
      </c>
      <c r="H6" s="25" t="s">
        <v>760</v>
      </c>
      <c r="I6" s="26" t="s">
        <v>761</v>
      </c>
      <c r="J6" s="81" t="n">
        <v>0.87</v>
      </c>
    </row>
    <row r="7" customFormat="false" ht="15" hidden="false" customHeight="true" outlineLevel="0" collapsed="false">
      <c r="A7" s="114" t="s">
        <v>762</v>
      </c>
      <c r="B7" s="115" t="s">
        <v>763</v>
      </c>
      <c r="C7" s="17" t="n">
        <v>50</v>
      </c>
      <c r="D7" s="16" t="n">
        <v>50</v>
      </c>
      <c r="E7" s="116" t="n">
        <f aca="false">25000*D7</f>
        <v>1250000</v>
      </c>
      <c r="F7" s="116" t="n">
        <f aca="false">E7*12</f>
        <v>15000000</v>
      </c>
      <c r="G7" s="17" t="s">
        <v>764</v>
      </c>
      <c r="H7" s="17" t="s">
        <v>765</v>
      </c>
      <c r="I7" s="18" t="s">
        <v>766</v>
      </c>
      <c r="J7" s="78" t="n">
        <v>0.85</v>
      </c>
    </row>
    <row r="9" customFormat="false" ht="15" hidden="false" customHeight="true" outlineLevel="0" collapsed="false">
      <c r="A9" s="84" t="s">
        <v>767</v>
      </c>
      <c r="E9" s="120" t="n">
        <f aca="false">SUM(E3:E7)</f>
        <v>3444500</v>
      </c>
      <c r="F9" s="120" t="n">
        <f aca="false">SUM(F3:F7)</f>
        <v>41334000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36"/>
  </cols>
  <sheetData>
    <row r="1" customFormat="false" ht="15" hidden="false" customHeight="true" outlineLevel="0" collapsed="false">
      <c r="A1" s="35" t="s">
        <v>768</v>
      </c>
      <c r="B1" s="35"/>
      <c r="C1" s="35"/>
      <c r="D1" s="35"/>
      <c r="E1" s="35"/>
      <c r="F1" s="35"/>
      <c r="G1" s="35"/>
      <c r="H1" s="35"/>
    </row>
    <row r="2" customFormat="false" ht="15" hidden="false" customHeight="true" outlineLevel="0" collapsed="false">
      <c r="A2" s="12" t="s">
        <v>769</v>
      </c>
      <c r="B2" s="12" t="s">
        <v>770</v>
      </c>
      <c r="C2" s="12" t="s">
        <v>771</v>
      </c>
      <c r="D2" s="12" t="s">
        <v>772</v>
      </c>
      <c r="E2" s="12" t="s">
        <v>773</v>
      </c>
      <c r="F2" s="12" t="s">
        <v>436</v>
      </c>
      <c r="G2" s="12" t="s">
        <v>516</v>
      </c>
      <c r="H2" s="12" t="s">
        <v>774</v>
      </c>
    </row>
    <row r="3" customFormat="false" ht="15" hidden="false" customHeight="true" outlineLevel="0" collapsed="false">
      <c r="A3" s="76" t="s">
        <v>775</v>
      </c>
      <c r="B3" s="110" t="s">
        <v>776</v>
      </c>
      <c r="C3" s="121" t="n">
        <v>847</v>
      </c>
      <c r="D3" s="122" t="n">
        <f aca="false">-0.0099*C3</f>
        <v>-8.3853</v>
      </c>
      <c r="E3" s="123" t="n">
        <f aca="false">D3/C3</f>
        <v>-0.0099</v>
      </c>
      <c r="F3" s="78" t="n">
        <v>0.76</v>
      </c>
      <c r="G3" s="18" t="s">
        <v>777</v>
      </c>
      <c r="H3" s="17" t="s">
        <v>778</v>
      </c>
    </row>
    <row r="4" customFormat="false" ht="15" hidden="false" customHeight="true" outlineLevel="0" collapsed="false">
      <c r="A4" s="79" t="s">
        <v>779</v>
      </c>
      <c r="B4" s="108" t="s">
        <v>780</v>
      </c>
      <c r="C4" s="124" t="n">
        <v>847</v>
      </c>
      <c r="D4" s="125" t="n">
        <f aca="false">-0.005*C4</f>
        <v>-4.235</v>
      </c>
      <c r="E4" s="126" t="n">
        <f aca="false">D4/C4</f>
        <v>-0.005</v>
      </c>
      <c r="F4" s="81" t="n">
        <v>0.76</v>
      </c>
      <c r="G4" s="26" t="s">
        <v>777</v>
      </c>
      <c r="H4" s="25" t="s">
        <v>781</v>
      </c>
    </row>
    <row r="5" customFormat="false" ht="15" hidden="false" customHeight="true" outlineLevel="0" collapsed="false">
      <c r="A5" s="76" t="s">
        <v>782</v>
      </c>
      <c r="B5" s="110" t="s">
        <v>783</v>
      </c>
      <c r="C5" s="121" t="n">
        <v>847</v>
      </c>
      <c r="D5" s="122" t="n">
        <f aca="false">-0.0143*C5</f>
        <v>-12.1121</v>
      </c>
      <c r="E5" s="123" t="n">
        <f aca="false">D5/C5</f>
        <v>-0.0143</v>
      </c>
      <c r="F5" s="78" t="n">
        <v>0.74</v>
      </c>
      <c r="G5" s="18" t="s">
        <v>784</v>
      </c>
      <c r="H5" s="17" t="s">
        <v>785</v>
      </c>
    </row>
    <row r="6" customFormat="false" ht="15" hidden="false" customHeight="true" outlineLevel="0" collapsed="false">
      <c r="A6" s="79" t="s">
        <v>786</v>
      </c>
      <c r="B6" s="108" t="s">
        <v>787</v>
      </c>
      <c r="C6" s="124" t="n">
        <v>847</v>
      </c>
      <c r="D6" s="125" t="n">
        <f aca="false">-0.0192*C6</f>
        <v>-16.2624</v>
      </c>
      <c r="E6" s="126" t="n">
        <f aca="false">D6/C6</f>
        <v>-0.0192</v>
      </c>
      <c r="F6" s="81" t="n">
        <v>0.74</v>
      </c>
      <c r="G6" s="26" t="s">
        <v>784</v>
      </c>
      <c r="H6" s="25" t="s">
        <v>788</v>
      </c>
    </row>
    <row r="7" customFormat="false" ht="15" hidden="false" customHeight="true" outlineLevel="0" collapsed="false">
      <c r="A7" s="76" t="s">
        <v>789</v>
      </c>
      <c r="B7" s="110" t="s">
        <v>790</v>
      </c>
      <c r="C7" s="121" t="n">
        <v>847</v>
      </c>
      <c r="D7" s="127" t="n">
        <f aca="false">0.0179*C7</f>
        <v>15.1613</v>
      </c>
      <c r="E7" s="128" t="n">
        <f aca="false">D7/C7</f>
        <v>0.0179</v>
      </c>
      <c r="F7" s="78" t="n">
        <v>0.68</v>
      </c>
      <c r="G7" s="18" t="s">
        <v>791</v>
      </c>
      <c r="H7" s="17" t="s">
        <v>792</v>
      </c>
    </row>
    <row r="8" customFormat="false" ht="15" hidden="false" customHeight="true" outlineLevel="0" collapsed="false">
      <c r="A8" s="79" t="s">
        <v>793</v>
      </c>
      <c r="B8" s="108" t="s">
        <v>794</v>
      </c>
      <c r="C8" s="124" t="n">
        <v>847</v>
      </c>
      <c r="D8" s="125" t="n">
        <f aca="false">-0.012*C8</f>
        <v>-10.164</v>
      </c>
      <c r="E8" s="126" t="n">
        <f aca="false">D8/C8</f>
        <v>-0.012</v>
      </c>
      <c r="F8" s="81" t="n">
        <v>0.68</v>
      </c>
      <c r="G8" s="26" t="s">
        <v>795</v>
      </c>
      <c r="H8" s="25" t="s">
        <v>796</v>
      </c>
    </row>
    <row r="9" customFormat="false" ht="15" hidden="false" customHeight="true" outlineLevel="0" collapsed="false">
      <c r="A9" s="76" t="s">
        <v>797</v>
      </c>
      <c r="B9" s="110" t="s">
        <v>798</v>
      </c>
      <c r="C9" s="121" t="n">
        <v>847</v>
      </c>
      <c r="D9" s="127" t="n">
        <f aca="false">-0.018*C9</f>
        <v>-15.246</v>
      </c>
      <c r="E9" s="128" t="n">
        <f aca="false">D9/C9</f>
        <v>-0.018</v>
      </c>
      <c r="F9" s="78" t="n">
        <v>0.71</v>
      </c>
      <c r="G9" s="18" t="s">
        <v>799</v>
      </c>
      <c r="H9" s="17" t="s">
        <v>800</v>
      </c>
    </row>
    <row r="10" customFormat="false" ht="15" hidden="false" customHeight="true" outlineLevel="0" collapsed="false">
      <c r="A10" s="79" t="s">
        <v>801</v>
      </c>
      <c r="B10" s="108" t="s">
        <v>802</v>
      </c>
      <c r="C10" s="124" t="n">
        <v>847</v>
      </c>
      <c r="D10" s="125" t="n">
        <f aca="false">-0.12*C10</f>
        <v>-101.64</v>
      </c>
      <c r="E10" s="126" t="n">
        <f aca="false">D10/C10</f>
        <v>-0.12</v>
      </c>
      <c r="F10" s="81" t="n">
        <v>0.73</v>
      </c>
      <c r="G10" s="26" t="s">
        <v>803</v>
      </c>
      <c r="H10" s="25" t="s">
        <v>804</v>
      </c>
    </row>
    <row r="11" customFormat="false" ht="15" hidden="false" customHeight="true" outlineLevel="0" collapsed="false">
      <c r="A11" s="76" t="s">
        <v>805</v>
      </c>
      <c r="B11" s="110" t="s">
        <v>806</v>
      </c>
      <c r="C11" s="121" t="n">
        <v>847</v>
      </c>
      <c r="D11" s="127" t="n">
        <f aca="false">0.008*C11</f>
        <v>6.776</v>
      </c>
      <c r="E11" s="128" t="n">
        <f aca="false">D11/C11</f>
        <v>0.008</v>
      </c>
      <c r="F11" s="78" t="n">
        <v>0.72</v>
      </c>
      <c r="G11" s="18" t="s">
        <v>807</v>
      </c>
      <c r="H11" s="17" t="s">
        <v>808</v>
      </c>
    </row>
    <row r="12" customFormat="false" ht="15" hidden="false" customHeight="true" outlineLevel="0" collapsed="false">
      <c r="A12" s="79" t="s">
        <v>809</v>
      </c>
      <c r="B12" s="108" t="s">
        <v>810</v>
      </c>
      <c r="C12" s="124" t="n">
        <v>847</v>
      </c>
      <c r="D12" s="125" t="n">
        <f aca="false">-0.14*C12</f>
        <v>-118.58</v>
      </c>
      <c r="E12" s="126" t="n">
        <f aca="false">D12/C12</f>
        <v>-0.14</v>
      </c>
      <c r="F12" s="81" t="n">
        <v>0.65</v>
      </c>
      <c r="G12" s="26" t="s">
        <v>784</v>
      </c>
      <c r="H12" s="25" t="s">
        <v>811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0"/>
    <col collapsed="false" customWidth="true" hidden="false" outlineLevel="0" max="4" min="4" style="1" width="26"/>
  </cols>
  <sheetData>
    <row r="1" customFormat="false" ht="27.75" hidden="false" customHeight="true" outlineLevel="0" collapsed="false">
      <c r="A1" s="129" t="s">
        <v>812</v>
      </c>
      <c r="B1" s="129"/>
      <c r="C1" s="129"/>
      <c r="D1" s="129"/>
    </row>
    <row r="2" customFormat="false" ht="15" hidden="false" customHeight="true" outlineLevel="0" collapsed="false">
      <c r="A2" s="130" t="s">
        <v>813</v>
      </c>
      <c r="C2" s="84" t="s">
        <v>814</v>
      </c>
    </row>
    <row r="3" customFormat="false" ht="15" hidden="false" customHeight="true" outlineLevel="0" collapsed="false">
      <c r="A3" s="105" t="s">
        <v>815</v>
      </c>
      <c r="B3" s="131" t="str">
        <f aca="false">'01 — Market Parameters'!A2</f>
        <v>Region</v>
      </c>
      <c r="D3" s="132" t="s">
        <v>816</v>
      </c>
    </row>
    <row r="4" customFormat="false" ht="15" hidden="false" customHeight="true" outlineLevel="0" collapsed="false">
      <c r="A4" s="107" t="s">
        <v>817</v>
      </c>
      <c r="B4" s="133" t="n">
        <f aca="false">COUNTA('01 — Market Parameters'!C3:C47)</f>
        <v>38</v>
      </c>
      <c r="D4" s="134" t="s">
        <v>818</v>
      </c>
    </row>
    <row r="5" customFormat="false" ht="15" hidden="false" customHeight="true" outlineLevel="0" collapsed="false">
      <c r="A5" s="105" t="s">
        <v>819</v>
      </c>
      <c r="B5" s="131" t="n">
        <v>7</v>
      </c>
      <c r="D5" s="132" t="s">
        <v>820</v>
      </c>
    </row>
    <row r="6" customFormat="false" ht="15" hidden="false" customHeight="true" outlineLevel="0" collapsed="false">
      <c r="A6" s="107" t="s">
        <v>821</v>
      </c>
      <c r="B6" s="133" t="n">
        <f aca="false">COUNTIF('01 — Market Parameters'!J3:J47,"Frontier")</f>
        <v>10</v>
      </c>
      <c r="D6" s="134" t="s">
        <v>822</v>
      </c>
    </row>
    <row r="7" customFormat="false" ht="15" hidden="false" customHeight="true" outlineLevel="0" collapsed="false">
      <c r="A7" s="105" t="s">
        <v>823</v>
      </c>
      <c r="B7" s="131" t="n">
        <f aca="false">COUNTIF('01 — Market Parameters'!J3:J47,"Emerging")</f>
        <v>22</v>
      </c>
      <c r="D7" s="132" t="s">
        <v>822</v>
      </c>
    </row>
    <row r="8" customFormat="false" ht="15" hidden="false" customHeight="true" outlineLevel="0" collapsed="false">
      <c r="A8" s="130" t="s">
        <v>824</v>
      </c>
    </row>
    <row r="9" customFormat="false" ht="15" hidden="false" customHeight="true" outlineLevel="0" collapsed="false">
      <c r="A9" s="105" t="s">
        <v>825</v>
      </c>
      <c r="B9" s="135" t="n">
        <f aca="false">AVERAGE('02 — Correlation Matrix'!D3:D47)</f>
        <v>0.470526315789474</v>
      </c>
      <c r="D9" s="132" t="s">
        <v>826</v>
      </c>
    </row>
    <row r="10" customFormat="false" ht="15" hidden="false" customHeight="true" outlineLevel="0" collapsed="false">
      <c r="A10" s="107" t="s">
        <v>827</v>
      </c>
      <c r="B10" s="136" t="n">
        <f aca="false">MAX('02 — Correlation Matrix'!D3:D47)</f>
        <v>0.76</v>
      </c>
      <c r="D10" s="134" t="s">
        <v>828</v>
      </c>
    </row>
    <row r="11" customFormat="false" ht="15" hidden="false" customHeight="true" outlineLevel="0" collapsed="false">
      <c r="A11" s="105" t="s">
        <v>829</v>
      </c>
      <c r="B11" s="131" t="n">
        <f aca="false">COUNTIF('02 — Correlation Matrix'!D3:D47,"&gt;0.6")</f>
        <v>8</v>
      </c>
      <c r="D11" s="132" t="s">
        <v>830</v>
      </c>
    </row>
    <row r="12" customFormat="false" ht="15" hidden="false" customHeight="true" outlineLevel="0" collapsed="false">
      <c r="A12" s="107" t="s">
        <v>831</v>
      </c>
      <c r="B12" s="133" t="n">
        <f aca="false">COUNTIF('02 — Correlation Matrix'!E3:E47,"&gt;0.5")</f>
        <v>7</v>
      </c>
      <c r="D12" s="134" t="s">
        <v>832</v>
      </c>
    </row>
    <row r="13" customFormat="false" ht="15" hidden="false" customHeight="true" outlineLevel="0" collapsed="false">
      <c r="A13" s="105" t="s">
        <v>833</v>
      </c>
      <c r="B13" s="131" t="n">
        <f aca="false">COUNTIF('02 — Correlation Matrix'!H3:H47,"&gt;0.5")</f>
        <v>11</v>
      </c>
      <c r="D13" s="132" t="s">
        <v>834</v>
      </c>
    </row>
    <row r="14" customFormat="false" ht="15" hidden="false" customHeight="true" outlineLevel="0" collapsed="false">
      <c r="A14" s="130" t="s">
        <v>835</v>
      </c>
    </row>
    <row r="15" customFormat="false" ht="15" hidden="false" customHeight="true" outlineLevel="0" collapsed="false">
      <c r="A15" s="105" t="s">
        <v>836</v>
      </c>
      <c r="B15" s="135" t="n">
        <f aca="false">AVERAGE('03 — Risk &amp; Macro Scores'!D3:D47)</f>
        <v>49.6842105263158</v>
      </c>
      <c r="D15" s="132" t="s">
        <v>837</v>
      </c>
    </row>
    <row r="16" customFormat="false" ht="15" hidden="false" customHeight="true" outlineLevel="0" collapsed="false">
      <c r="A16" s="107" t="s">
        <v>838</v>
      </c>
      <c r="B16" s="133" t="n">
        <f aca="false">COUNTIF('03 — Risk &amp; Macro Scores'!D3:D47,"&gt;70")</f>
        <v>6</v>
      </c>
      <c r="D16" s="134" t="s">
        <v>839</v>
      </c>
    </row>
    <row r="17" customFormat="false" ht="15" hidden="false" customHeight="true" outlineLevel="0" collapsed="false">
      <c r="A17" s="105" t="s">
        <v>840</v>
      </c>
      <c r="B17" s="131" t="n">
        <f aca="false">COUNTIF('03 — Risk &amp; Macro Scores'!G3:G47,"&gt;0.15")</f>
        <v>6</v>
      </c>
      <c r="D17" s="132" t="s">
        <v>841</v>
      </c>
    </row>
    <row r="18" customFormat="false" ht="15" hidden="false" customHeight="true" outlineLevel="0" collapsed="false">
      <c r="A18" s="107" t="s">
        <v>842</v>
      </c>
      <c r="B18" s="136" t="n">
        <f aca="false">AVERAGE('03 — Risk &amp; Macro Scores'!F3:F47)</f>
        <v>0.0280526315789474</v>
      </c>
      <c r="D18" s="134" t="s">
        <v>843</v>
      </c>
    </row>
    <row r="19" customFormat="false" ht="15" hidden="false" customHeight="true" outlineLevel="0" collapsed="false">
      <c r="A19" s="105" t="s">
        <v>844</v>
      </c>
      <c r="B19" s="137" t="n">
        <f aca="false">COUNTIF('03 — Risk &amp; Macro Scores'!F3:F47,"&gt;0.05")</f>
        <v>5</v>
      </c>
      <c r="D19" s="132" t="s">
        <v>845</v>
      </c>
    </row>
    <row r="20" customFormat="false" ht="15" hidden="false" customHeight="true" outlineLevel="0" collapsed="false">
      <c r="A20" s="130" t="s">
        <v>846</v>
      </c>
    </row>
    <row r="21" customFormat="false" ht="15" hidden="false" customHeight="true" outlineLevel="0" collapsed="false">
      <c r="A21" s="105" t="s">
        <v>847</v>
      </c>
      <c r="B21" s="138" t="n">
        <f aca="false">'04 — Crisis Predictor'!B11</f>
        <v>0.225</v>
      </c>
      <c r="D21" s="132" t="s">
        <v>848</v>
      </c>
    </row>
    <row r="22" customFormat="false" ht="15" hidden="false" customHeight="true" outlineLevel="0" collapsed="false">
      <c r="A22" s="107" t="s">
        <v>849</v>
      </c>
      <c r="B22" s="133" t="n">
        <f aca="false">COUNTIF('04 — Crisis Predictor'!G5:G9,"ACTIVE")</f>
        <v>3</v>
      </c>
      <c r="D22" s="134" t="s">
        <v>850</v>
      </c>
    </row>
    <row r="23" customFormat="false" ht="15" hidden="false" customHeight="true" outlineLevel="0" collapsed="false">
      <c r="A23" s="105" t="s">
        <v>851</v>
      </c>
      <c r="B23" s="138" t="n">
        <f aca="false">'04 — Crisis Predictor'!B11</f>
        <v>0.225</v>
      </c>
      <c r="D23" s="132" t="s">
        <v>852</v>
      </c>
    </row>
    <row r="24" customFormat="false" ht="15" hidden="false" customHeight="true" outlineLevel="0" collapsed="false">
      <c r="A24" s="130" t="s">
        <v>853</v>
      </c>
    </row>
    <row r="25" customFormat="false" ht="15" hidden="false" customHeight="true" outlineLevel="0" collapsed="false">
      <c r="A25" s="105" t="s">
        <v>854</v>
      </c>
      <c r="B25" s="139" t="n">
        <f aca="false">'08 — Pricing Tiers'!E9</f>
        <v>3444500</v>
      </c>
      <c r="D25" s="132" t="s">
        <v>855</v>
      </c>
    </row>
    <row r="26" customFormat="false" ht="15" hidden="false" customHeight="true" outlineLevel="0" collapsed="false">
      <c r="A26" s="107" t="s">
        <v>856</v>
      </c>
      <c r="B26" s="140" t="n">
        <f aca="false">'08 — Pricing Tiers'!F9</f>
        <v>41334000</v>
      </c>
      <c r="D26" s="134" t="s">
        <v>857</v>
      </c>
    </row>
    <row r="27" customFormat="false" ht="15" hidden="false" customHeight="true" outlineLevel="0" collapsed="false">
      <c r="A27" s="105" t="s">
        <v>858</v>
      </c>
      <c r="B27" s="131" t="n">
        <v>0.89</v>
      </c>
      <c r="D27" s="132" t="s">
        <v>859</v>
      </c>
    </row>
    <row r="28" customFormat="false" ht="15" hidden="false" customHeight="true" outlineLevel="0" collapsed="false">
      <c r="A28" s="107" t="s">
        <v>860</v>
      </c>
      <c r="B28" s="133" t="n">
        <v>45</v>
      </c>
      <c r="D28" s="134" t="s">
        <v>861</v>
      </c>
    </row>
    <row r="29" customFormat="false" ht="15" hidden="false" customHeight="true" outlineLevel="0" collapsed="false">
      <c r="A29" s="105" t="s">
        <v>862</v>
      </c>
      <c r="B29" s="131" t="n">
        <v>194</v>
      </c>
      <c r="D29" s="132" t="s">
        <v>863</v>
      </c>
    </row>
    <row r="30" customFormat="false" ht="15" hidden="false" customHeight="true" outlineLevel="0" collapsed="false">
      <c r="A30" s="107" t="s">
        <v>864</v>
      </c>
      <c r="B30" s="133" t="n">
        <v>45</v>
      </c>
      <c r="D30" s="134" t="s">
        <v>865</v>
      </c>
    </row>
    <row r="31" customFormat="false" ht="15" hidden="false" customHeight="false" outlineLevel="0" collapsed="false">
      <c r="B31" s="1" t="n">
        <f aca="false">B29/B30</f>
        <v>4.31111111111111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2026-02-17T13:14:04Z</dcterms:created>
  <dc:creator>openpyxl</dc:creator>
  <dc:description/>
  <dc:language>en-US</dc:language>
  <cp:lastModifiedBy/>
  <dcterms:modified xsi:type="dcterms:W3CDTF">2026-02-17T13:15:38Z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