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Returns Summary" sheetId="3" state="visible" r:id="rId5"/>
    <sheet name="Valuation Journey" sheetId="4" state="visible" r:id="rId6"/>
    <sheet name="Revenue Model" sheetId="5" state="visible" r:id="rId7"/>
    <sheet name="Equity &amp; Dilutio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<sst xmlns="http://schemas.openxmlformats.org/spreadsheetml/2006/main" count="237" uniqueCount="203">
  <si>
    <t xml:space="preserve">AlphaEdge — Pre-Seed Investment Model</t>
  </si>
  <si>
    <t xml:space="preserve">Institutional-Grade Market Intelligence · 45 Emerging Markets · DCC-GARCH Correlation Engine</t>
  </si>
  <si>
    <t xml:space="preserve">PRIVATE &amp; CONFIDENTIAL — FRIENDS &amp; FAMILY ROUND — Q2 2026</t>
  </si>
  <si>
    <t xml:space="preserve">Round Size</t>
  </si>
  <si>
    <t xml:space="preserve">Valuation Cap</t>
  </si>
  <si>
    <t xml:space="preserve">Instrument</t>
  </si>
  <si>
    <t xml:space="preserve">Min. Ticket</t>
  </si>
  <si>
    <t xml:space="preserve">₹35 Lakhs</t>
  </si>
  <si>
    <t xml:space="preserve">₹3.5 Cr</t>
  </si>
  <si>
    <t xml:space="preserve">SAFE / CCD</t>
  </si>
  <si>
    <t xml:space="preserve">₹1 Lakh</t>
  </si>
  <si>
    <t xml:space="preserve">Friends &amp; Family Pre-Seed</t>
  </si>
  <si>
    <t xml:space="preserve">Pre-Money Implied</t>
  </si>
  <si>
    <t xml:space="preserve">Converts at Seed Round</t>
  </si>
  <si>
    <t xml:space="preserve">Flexible for Close Circle</t>
  </si>
  <si>
    <t xml:space="preserve">MODEL CONTENTS</t>
  </si>
  <si>
    <t xml:space="preserve">Assumptions</t>
  </si>
  <si>
    <t xml:space="preserve">All model inputs — valuation cap, growth rates, dilution, USD/INR rate</t>
  </si>
  <si>
    <t xml:space="preserve">Returns Summary</t>
  </si>
  <si>
    <t xml:space="preserve">Investment amount vs. return multiples at 1Y / 3Y / 5Y across 3 scenarios</t>
  </si>
  <si>
    <t xml:space="preserve">Valuation Journey</t>
  </si>
  <si>
    <t xml:space="preserve">Pre-Seed → Seed → Series A → Exit milestones with implied valuations</t>
  </si>
  <si>
    <t xml:space="preserve">Revenue Model</t>
  </si>
  <si>
    <t xml:space="preserve">Subscriber growth, MRR → ARR → implied company valuation by year</t>
  </si>
  <si>
    <t xml:space="preserve">Equity &amp; Dilution</t>
  </si>
  <si>
    <t xml:space="preserve">Ownership table by ticket size through all funding rounds</t>
  </si>
  <si>
    <t xml:space="preserve">DISCLAIMER: This model is for informational purposes only and is not an offer or solicitation to buy or sell securities. Investment in early-stage ventures carries significant risk, including total loss of capital. All projections are estimates based on stated assumptions and do not guarantee future returns. Recipients should seek independent professional advice before making any investment decision. AlphaEdge Ventures · April 2026 · Confidential.</t>
  </si>
  <si>
    <t xml:space="preserve">ALPHAEDGE — MODEL ASSUMPTIONS</t>
  </si>
  <si>
    <t xml:space="preserve">Blue = Input cells you can change  |  All other cells are formulas</t>
  </si>
  <si>
    <t xml:space="preserve">● Hardcoded inputs</t>
  </si>
  <si>
    <t xml:space="preserve">● Formula / calculated</t>
  </si>
  <si>
    <t xml:space="preserve">● Linked from another sheet</t>
  </si>
  <si>
    <t xml:space="preserve">A.  PRE-SEED ROUND DETAILS</t>
  </si>
  <si>
    <t xml:space="preserve">Round Size (₹ Lakhs)</t>
  </si>
  <si>
    <t xml:space="preserve">Friends &amp; Family raise — Q2 2026</t>
  </si>
  <si>
    <t xml:space="preserve">Pre-Money Valuation Cap (₹ Cr)</t>
  </si>
  <si>
    <t xml:space="preserve">SAFE / CCD converts at seed at this cap</t>
  </si>
  <si>
    <t xml:space="preserve">Min. Ticket Size (₹ Lakhs)</t>
  </si>
  <si>
    <t xml:space="preserve">Flexible for close circle</t>
  </si>
  <si>
    <t xml:space="preserve">Converts at next priced round</t>
  </si>
  <si>
    <t xml:space="preserve">USD/INR Rate</t>
  </si>
  <si>
    <t xml:space="preserve">Source: Xe.com, April 2026</t>
  </si>
  <si>
    <t xml:space="preserve">Total Pre-Seed Equity Pool (%)</t>
  </si>
  <si>
    <t xml:space="preserve">Auto-calculated from round size / valuation cap</t>
  </si>
  <si>
    <t xml:space="preserve">B.  PHASE 2 SEED ROUND  (Formal Raise — $12M Target)</t>
  </si>
  <si>
    <t xml:space="preserve">Phase 2 Seed Raise (USD M)</t>
  </si>
  <si>
    <t xml:space="preserve">Source: AlphaEdge investor materials, 2026</t>
  </si>
  <si>
    <t xml:space="preserve">Seed Pre-Money Valuation (USD M)</t>
  </si>
  <si>
    <t xml:space="preserve">$40M pre / $52M post (₹376 Cr / ₹489 Cr)</t>
  </si>
  <si>
    <t xml:space="preserve">Seed Post-Money Valuation (₹ Cr)</t>
  </si>
  <si>
    <t xml:space="preserve">Phase 2 raise + pre-money × USD/INR rate</t>
  </si>
  <si>
    <t xml:space="preserve">Seed Dilution to Pre-Seed Investors (%)</t>
  </si>
  <si>
    <t xml:space="preserve">New shares issued to seed investors — typical ~20-25%</t>
  </si>
  <si>
    <t xml:space="preserve">C.  SERIES A ASSUMPTIONS</t>
  </si>
  <si>
    <t xml:space="preserve">Series A Dilution (%)</t>
  </si>
  <si>
    <t xml:space="preserve">Typical institutional Series A dilution</t>
  </si>
  <si>
    <t xml:space="preserve">D.  SCENARIO VALUATIONS  (for Exit Value Calculation)</t>
  </si>
  <si>
    <t xml:space="preserve">Scenario Parameter</t>
  </si>
  <si>
    <t xml:space="preserve">Conservative</t>
  </si>
  <si>
    <t xml:space="preserve">Base Case</t>
  </si>
  <si>
    <t xml:space="preserve">Bull Case</t>
  </si>
  <si>
    <t xml:space="preserve">1Y — Mark-to-Market Valuation (₹ Cr)</t>
  </si>
  <si>
    <t xml:space="preserve">Post-seed mark. Base = $52M post-money converted to INR</t>
  </si>
  <si>
    <t xml:space="preserve">3Y — Series A / Growth Valuation (₹ Cr)</t>
  </si>
  <si>
    <t xml:space="preserve">Revenue-based multiple. Base ~ 50x ARR at $10K MRR trajectory</t>
  </si>
  <si>
    <t xml:space="preserve">5Y — Pre-IPO / Exit Valuation (₹ Cr)</t>
  </si>
  <si>
    <t xml:space="preserve">Comparable: Zerodha ₹36K Cr, Groww ₹23K Cr, niche EM SaaS at 10-20x</t>
  </si>
  <si>
    <t xml:space="preserve">Revenue Multiple Assumed (x ARR)</t>
  </si>
  <si>
    <t xml:space="preserve">Conservative = mature SaaS; Bull = Bloomberg-comparable moat</t>
  </si>
  <si>
    <t xml:space="preserve">E.  REVENUE MODEL INPUTS</t>
  </si>
  <si>
    <t xml:space="preserve">Target Subscribers at Launch (Paid)</t>
  </si>
  <si>
    <t xml:space="preserve">10-12 weeks post-seed. Source: Investor materials</t>
  </si>
  <si>
    <t xml:space="preserve">Monthly Price per Subscriber (₹)</t>
  </si>
  <si>
    <t xml:space="preserve">₹2,499/month. = ~$199/month. vs Bloomberg ₹25L/year</t>
  </si>
  <si>
    <t xml:space="preserve">Monthly Subscriber Growth Rate — Conservative (%)</t>
  </si>
  <si>
    <t xml:space="preserve">10% MoM net adds</t>
  </si>
  <si>
    <t xml:space="preserve">Monthly Subscriber Growth Rate — Base (%)</t>
  </si>
  <si>
    <t xml:space="preserve">20% MoM net adds</t>
  </si>
  <si>
    <t xml:space="preserve">Monthly Subscriber Growth Rate — Bull (%)</t>
  </si>
  <si>
    <t xml:space="preserve">35% MoM net adds — strong Discord channel pull</t>
  </si>
  <si>
    <t xml:space="preserve">Target MRR (USD) to Trigger Seed</t>
  </si>
  <si>
    <t xml:space="preserve">Source: AlphaEdge Phase 2 milestones — $10K MRR</t>
  </si>
  <si>
    <t xml:space="preserve">ALPHAEDGE — PRE-SEED RETURNS SUMMARY</t>
  </si>
  <si>
    <t xml:space="preserve">Investment Amount vs. Projected Returns at 1 Year / 3 Years / 5 Years  ·  Pre-Money Cap: ₹3.5 Cr  ·  Instrument: SAFE/CCD  ·  Round: ₹35 Lakhs</t>
  </si>
  <si>
    <t xml:space="preserve">All inputs pulled from Assumptions sheet. Change inputs there — this table recalculates automatically.</t>
  </si>
  <si>
    <t xml:space="preserve">INVESTMENT</t>
  </si>
  <si>
    <t xml:space="preserve">◀  1 YEAR RETURNS  (Post-Seed Mark-to-Market)  ▶</t>
  </si>
  <si>
    <t xml:space="preserve">◀  3 YEAR RETURNS  (Series A Growth Stage)  ▶</t>
  </si>
  <si>
    <t xml:space="preserve">◀  5 YEAR RETURNS  (Pre-IPO / Exit Scenario)  ▶</t>
  </si>
  <si>
    <t xml:space="preserve">Ticket
(₹ Lakhs)</t>
  </si>
  <si>
    <t xml:space="preserve">Initial
Equity %</t>
  </si>
  <si>
    <t xml:space="preserve">Post-Dilution
Equity %</t>
  </si>
  <si>
    <t xml:space="preserve">🐻 Conservative
Return Value (₹ Cr)</t>
  </si>
  <si>
    <t xml:space="preserve">🐻 Conservative
Multiple</t>
  </si>
  <si>
    <t xml:space="preserve">📊 Base Case
Return Value (₹ Cr)</t>
  </si>
  <si>
    <t xml:space="preserve">📊 Base Case
Multiple</t>
  </si>
  <si>
    <t xml:space="preserve">🚀 Bull Case
Return Value (₹ Cr)</t>
  </si>
  <si>
    <t xml:space="preserve">🚀 Bull Case
Multiple</t>
  </si>
  <si>
    <t xml:space="preserve">Conservative
 (Multiple)</t>
  </si>
  <si>
    <t xml:space="preserve">Base
 (Multiple)</t>
  </si>
  <si>
    <t xml:space="preserve">Bull
 (Multiple)</t>
  </si>
  <si>
    <t xml:space="preserve">NOTES: Returns shown as ₹ Crore value at exit and Return Multiple (×). Post-Dilution Equity = Pre-Seed % × (1 − Seed Dilution 23%) × (1 − Series A Dilution 20%). Conservative = Measured growth; Base = $52M seed valuation → ₹489 Cr; Bull = Strong EM SaaS traction. All figures are projections — not guarantees.</t>
  </si>
  <si>
    <t xml:space="preserve">ALPHAEDGE — FUNDING ROUND &amp; VALUATION JOURNEY</t>
  </si>
  <si>
    <t xml:space="preserve">Stage</t>
  </si>
  <si>
    <t xml:space="preserve">Timeline</t>
  </si>
  <si>
    <t xml:space="preserve">Raise Amount</t>
  </si>
  <si>
    <t xml:space="preserve">Pre-Money</t>
  </si>
  <si>
    <t xml:space="preserve">Post-Money</t>
  </si>
  <si>
    <t xml:space="preserve">Key Milestone / Trigger</t>
  </si>
  <si>
    <t xml:space="preserve">Pre-Seed</t>
  </si>
  <si>
    <t xml:space="preserve">Q2 2026
(Now)</t>
  </si>
  <si>
    <t xml:space="preserve">₹3.5 Cr + ₹35L = ~₹3.85 Cr</t>
  </si>
  <si>
    <t xml:space="preserve">F&amp;F round closes. Product completion funded. SAFE issued.</t>
  </si>
  <si>
    <t xml:space="preserve">Phase 2 — Seed</t>
  </si>
  <si>
    <t xml:space="preserve">Q3–Q4 2026
(~6 months)</t>
  </si>
  <si>
    <t xml:space="preserve">$150K–200K
(₹1.4–1.9 Cr)</t>
  </si>
  <si>
    <t xml:space="preserve">~₹10 Cr implied</t>
  </si>
  <si>
    <t xml:space="preserve">~₹11.5 Cr</t>
  </si>
  <si>
    <t xml:space="preserve">Beta launch. $10K MRR milestone. 50 paid subscribers.</t>
  </si>
  <si>
    <t xml:space="preserve">Formal Seed</t>
  </si>
  <si>
    <t xml:space="preserve">Q1 2027
(~12 months)</t>
  </si>
  <si>
    <t xml:space="preserve">$12M
(₹112.8 Cr)</t>
  </si>
  <si>
    <t xml:space="preserve">$40M
(₹376 Cr)</t>
  </si>
  <si>
    <t xml:space="preserve">$52M
(₹489 Cr)</t>
  </si>
  <si>
    <t xml:space="preserve">DCC-GARCH live. News Intelligence live. AlphaCopy live. $10K MRR proven.</t>
  </si>
  <si>
    <t xml:space="preserve">Series A</t>
  </si>
  <si>
    <t xml:space="preserve">2028–2029
(~3 years)</t>
  </si>
  <si>
    <t xml:space="preserve">$30–50M</t>
  </si>
  <si>
    <t xml:space="preserve">₹1,000–2,500 Cr
(Conservative–Base)</t>
  </si>
  <si>
    <t xml:space="preserve">₹1,300–3,000 Cr</t>
  </si>
  <si>
    <t xml:space="preserve">Pan-EM expansion. 5,000+ subscribers. $1M+ ARR. Institutional clients.</t>
  </si>
  <si>
    <t xml:space="preserve">Pre-IPO / Exit</t>
  </si>
  <si>
    <t xml:space="preserve">2030–2031
(~5 years)</t>
  </si>
  <si>
    <t xml:space="preserve">IPO / Strategic</t>
  </si>
  <si>
    <t xml:space="preserve">₹3,000–20,000 Cr</t>
  </si>
  <si>
    <t xml:space="preserve">—</t>
  </si>
  <si>
    <t xml:space="preserve">India-first EM intelligence platform. Bloomberg alternative for 45 markets.</t>
  </si>
  <si>
    <t xml:space="preserve">PRE-SEED INVESTOR DILUTION SCHEDULE</t>
  </si>
  <si>
    <t xml:space="preserve">Metric</t>
  </si>
  <si>
    <t xml:space="preserve">At Pre-Seed</t>
  </si>
  <si>
    <t xml:space="preserve">After Phase 2 Seed</t>
  </si>
  <si>
    <t xml:space="preserve">After Formal Seed ($12M)</t>
  </si>
  <si>
    <t xml:space="preserve">After Series A</t>
  </si>
  <si>
    <t xml:space="preserve">At Exit</t>
  </si>
  <si>
    <t xml:space="preserve">Example: ₹10L Ticket</t>
  </si>
  <si>
    <t xml:space="preserve">2.857%</t>
  </si>
  <si>
    <t xml:space="preserve">2.20%</t>
  </si>
  <si>
    <t xml:space="preserve">1.76%</t>
  </si>
  <si>
    <t xml:space="preserve">1.76% of exit value</t>
  </si>
  <si>
    <t xml:space="preserve">Round Dilution</t>
  </si>
  <si>
    <t xml:space="preserve">~3% (Phase 2)</t>
  </si>
  <si>
    <t xml:space="preserve">~23% (Formal Seed)</t>
  </si>
  <si>
    <t xml:space="preserve">~20% (Series A)</t>
  </si>
  <si>
    <t xml:space="preserve">Cumulative ~40%</t>
  </si>
  <si>
    <t xml:space="preserve">Dilution Factor</t>
  </si>
  <si>
    <t xml:space="preserve">1.000×</t>
  </si>
  <si>
    <t xml:space="preserve">0.970×</t>
  </si>
  <si>
    <t xml:space="preserve">0.770×</t>
  </si>
  <si>
    <t xml:space="preserve">0.800×</t>
  </si>
  <si>
    <t xml:space="preserve">0.597×</t>
  </si>
  <si>
    <t xml:space="preserve">Retained Eq. Factor</t>
  </si>
  <si>
    <t xml:space="preserve">100%</t>
  </si>
  <si>
    <t xml:space="preserve">97.0%</t>
  </si>
  <si>
    <t xml:space="preserve">74.7%</t>
  </si>
  <si>
    <t xml:space="preserve">59.7%</t>
  </si>
  <si>
    <t xml:space="preserve">59.7% of original</t>
  </si>
  <si>
    <t xml:space="preserve">Base Case Return (₹ Cr)
for ₹10L invested</t>
  </si>
  <si>
    <t xml:space="preserve">~0.22 Cr mark</t>
  </si>
  <si>
    <t xml:space="preserve">~0.87 Cr (1Y)</t>
  </si>
  <si>
    <t xml:space="preserve">~4.42 Cr (3Y)</t>
  </si>
  <si>
    <t xml:space="preserve">~11.15 Cr (5Y)</t>
  </si>
  <si>
    <t xml:space="preserve">ALPHAEDGE — REVENUE MODEL (SUBSCRIBER → ARR → VALUATION)</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</si>
  <si>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</si>
  <si>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</si>
  <si>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</si>
  <si>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</si>
  <si>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</si>
  <si>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</si>
  <si>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</si>
  <si>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</si>
  <si>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</si>
  <si>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</si>
  <si>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</si>
  <si>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</si>
  <si>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Year 1</t>
  </si>
  <si>
    <t xml:space="preserve">Year 2</t>
  </si>
  <si>
    <t xml:space="preserve">Year 3</t>
  </si>
  <si>
    <t xml:space="preserve">🐻 CONSERVATIVE SCENARIO</t>
  </si>
  <si>
    <t xml:space="preserve">Paid Subscribers</t>
  </si>
  <si>
    <t xml:space="preserve">MRR  (₹ Lakhs)</t>
  </si>
  <si>
    <t xml:space="preserve">ARR  (₹ Lakhs)</t>
  </si>
  <si>
    <t xml:space="preserve">Implied Valuation (₹ Cr)</t>
  </si>
  <si>
    <t xml:space="preserve">📊 BASE CASE SCENARIO</t>
  </si>
  <si>
    <t xml:space="preserve">🚀 BULL CASE SCENARIO</t>
  </si>
  <si>
    <t xml:space="preserve">ALPHAEDGE — EQUITY OWNERSHIP &amp; DILUTION BY TICKET SIZE</t>
  </si>
  <si>
    <t xml:space="preserve">Ticket (₹ L)</t>
  </si>
  <si>
    <t xml:space="preserve">Equity at
Pre-Seed Cap</t>
  </si>
  <si>
    <t xml:space="preserve">After Phase 2
Seed (~3% dil.)</t>
  </si>
  <si>
    <t xml:space="preserve">After Formal
Seed (~23% dil.)</t>
  </si>
  <si>
    <t xml:space="preserve">After Series A
(~20% dil.)</t>
  </si>
  <si>
    <t xml:space="preserve">Cumulative
Dilution</t>
  </si>
  <si>
    <t xml:space="preserve">Retained Equity
(Final)</t>
  </si>
  <si>
    <t xml:space="preserve">DILUTION SEQUENCE: Pre-Seed (SAFE/CCD) → Phase 2 Seed (₹1.4–1.9 Cr raise, ~3% dilution) → Formal Seed ($12M raise, ~23% new shares issued) → Series A (~20% new shares). Dilution percentages are estimates; actual depends on round valuation at time of raise. SAFE/CCD converts at the better of pre-money cap or priced round discount.</t>
  </si>
</sst>
</file>

<file path=xl/styles.xml><?xml version="1.0" encoding="utf-8"?>
<styleSheet xmlns="http://schemas.openxmlformats.org/spreadsheetml/2006/main">
  <numFmts count="15">
    <numFmt numFmtId="164" formatCode="General"/>
    <numFmt numFmtId="165" formatCode="\₹#,##0.00,,&quot; L&quot;"/>
    <numFmt numFmtId="166" formatCode="\₹#,##0.00,,,&quot; Cr&quot;"/>
    <numFmt numFmtId="167" formatCode="0.00"/>
    <numFmt numFmtId="168" formatCode="0.00%"/>
    <numFmt numFmtId="169" formatCode="[$$-409]#,##0.0,,&quot; M&quot;"/>
    <numFmt numFmtId="170" formatCode="0\x"/>
    <numFmt numFmtId="171" formatCode="\₹#,##0"/>
    <numFmt numFmtId="172" formatCode="[$$-409]#,##0"/>
    <numFmt numFmtId="173" formatCode="0.00&quot; L&quot;"/>
    <numFmt numFmtId="174" formatCode="0.0\x"/>
    <numFmt numFmtId="175" formatCode="0"/>
    <numFmt numFmtId="176" formatCode="\₹0.00&quot; L&quot;"/>
    <numFmt numFmtId="177" formatCode="0.000%"/>
    <numFmt numFmtId="178" formatCode="0.0000%"/>
  </numFmts>
  <fonts count="37">
    <font>
      <sz val="11"/>
      <color theme="1"/>
      <name val="Calibri"/>
      <family val="2"/>
      <charset val="1"/>
    </font>
    <font>
      <sz val="10"/>
      <name val="Arial"/>
      <family val="0"/>
    </font>
    <font>
      <sz val="10"/>
      <name val="Arial"/>
      <family val="0"/>
    </font>
    <font>
      <sz val="10"/>
      <name val="Arial"/>
      <family val="0"/>
    </font>
    <font>
      <b val="true"/>
      <sz val="20"/>
      <color rgb="FFE8C97A"/>
      <name val="Arial"/>
      <family val="0"/>
      <charset val="1"/>
    </font>
    <font>
      <i val="true"/>
      <sz val="11"/>
      <color rgb="FF8A9BB0"/>
      <name val="Arial"/>
      <family val="0"/>
      <charset val="1"/>
    </font>
    <font>
      <b val="true"/>
      <sz val="9"/>
      <color rgb="FFE05252"/>
      <name val="Arial"/>
      <family val="0"/>
      <charset val="1"/>
    </font>
    <font>
      <sz val="9"/>
      <color rgb="FF8A9BB0"/>
      <name val="Arial"/>
      <family val="0"/>
      <charset val="1"/>
    </font>
    <font>
      <b val="true"/>
      <sz val="16"/>
      <color rgb="FFE8C97A"/>
      <name val="Arial"/>
      <family val="0"/>
      <charset val="1"/>
    </font>
    <font>
      <sz val="8"/>
      <color rgb="FF4A5A6A"/>
      <name val="Arial"/>
      <family val="0"/>
      <charset val="1"/>
    </font>
    <font>
      <b val="true"/>
      <sz val="9"/>
      <color rgb="FFC9A84C"/>
      <name val="Arial"/>
      <family val="0"/>
      <charset val="1"/>
    </font>
    <font>
      <b val="true"/>
      <sz val="9"/>
      <color rgb="FFE8C97A"/>
      <name val="Arial"/>
      <family val="0"/>
      <charset val="1"/>
    </font>
    <font>
      <i val="true"/>
      <sz val="8"/>
      <color rgb="FF4A5A6A"/>
      <name val="Arial"/>
      <family val="0"/>
      <charset val="1"/>
    </font>
    <font>
      <b val="true"/>
      <sz val="13"/>
      <color rgb="FFE8C97A"/>
      <name val="Arial"/>
      <family val="0"/>
      <charset val="1"/>
    </font>
    <font>
      <i val="true"/>
      <sz val="8"/>
      <color rgb="FF8A9BB0"/>
      <name val="Arial"/>
      <family val="0"/>
      <charset val="1"/>
    </font>
    <font>
      <sz val="8"/>
      <color rgb="FF0000FF"/>
      <name val="Arial"/>
      <family val="0"/>
      <charset val="1"/>
    </font>
    <font>
      <sz val="8"/>
      <color rgb="FF000000"/>
      <name val="Arial"/>
      <family val="0"/>
      <charset val="1"/>
    </font>
    <font>
      <sz val="8"/>
      <color rgb="FF008000"/>
      <name val="Arial"/>
      <family val="0"/>
      <charset val="1"/>
    </font>
    <font>
      <sz val="9"/>
      <color rgb="FFE8E4DC"/>
      <name val="Arial"/>
      <family val="0"/>
      <charset val="1"/>
    </font>
    <font>
      <b val="true"/>
      <sz val="9"/>
      <color rgb="FF0000FF"/>
      <name val="Arial"/>
      <family val="0"/>
      <charset val="1"/>
    </font>
    <font>
      <b val="true"/>
      <sz val="9"/>
      <color rgb="FF000000"/>
      <name val="Arial"/>
      <family val="0"/>
      <charset val="1"/>
    </font>
    <font>
      <b val="true"/>
      <sz val="14"/>
      <color rgb="FFE8C97A"/>
      <name val="Arial"/>
      <family val="0"/>
      <charset val="1"/>
    </font>
    <font>
      <i val="true"/>
      <sz val="9"/>
      <color rgb="FF8A9BB0"/>
      <name val="Arial"/>
      <family val="0"/>
      <charset val="1"/>
    </font>
    <font>
      <i val="true"/>
      <sz val="8"/>
      <color rgb="FFF59E0B"/>
      <name val="Arial"/>
      <family val="0"/>
      <charset val="1"/>
    </font>
    <font>
      <b val="true"/>
      <sz val="8"/>
      <color rgb="FFE8E4DC"/>
      <name val="Arial"/>
      <family val="0"/>
      <charset val="1"/>
    </font>
    <font>
      <b val="true"/>
      <sz val="10"/>
      <color rgb="FFE8C97A"/>
      <name val="Arial"/>
      <family val="0"/>
      <charset val="1"/>
    </font>
    <font>
      <sz val="9"/>
      <color rgb="FF000000"/>
      <name val="Arial"/>
      <family val="0"/>
      <charset val="1"/>
    </font>
    <font>
      <sz val="9"/>
      <color rgb="FFE05252"/>
      <name val="Arial"/>
      <family val="0"/>
      <charset val="1"/>
    </font>
    <font>
      <sz val="9"/>
      <color rgb="FF2ECC8A"/>
      <name val="Arial"/>
      <family val="0"/>
      <charset val="1"/>
    </font>
    <font>
      <b val="true"/>
      <sz val="9"/>
      <color rgb="FF2ECC8A"/>
      <name val="Arial"/>
      <family val="0"/>
      <charset val="1"/>
    </font>
    <font>
      <b val="true"/>
      <sz val="9"/>
      <color rgb="FFF59E0B"/>
      <name val="Arial"/>
      <family val="0"/>
      <charset val="1"/>
    </font>
    <font>
      <b val="true"/>
      <sz val="9"/>
      <color rgb="FF4FC3F7"/>
      <name val="Arial"/>
      <family val="0"/>
      <charset val="1"/>
    </font>
    <font>
      <b val="true"/>
      <sz val="9"/>
      <color rgb="FFB39DDB"/>
      <name val="Arial"/>
      <family val="0"/>
      <charset val="1"/>
    </font>
    <font>
      <b val="true"/>
      <sz val="9"/>
      <color rgb="FFE8E4DC"/>
      <name val="Arial"/>
      <family val="0"/>
      <charset val="1"/>
    </font>
    <font>
      <b val="true"/>
      <sz val="8"/>
      <color rgb="FFE05252"/>
      <name val="Arial"/>
      <family val="0"/>
      <charset val="1"/>
    </font>
    <font>
      <b val="true"/>
      <sz val="8"/>
      <color rgb="FFE8C97A"/>
      <name val="Arial"/>
      <family val="0"/>
      <charset val="1"/>
    </font>
    <font>
      <b val="true"/>
      <sz val="8"/>
      <color rgb="FF2ECC8A"/>
      <name val="Arial"/>
      <family val="0"/>
      <charset val="1"/>
    </font>
  </fonts>
  <fills count="7">
    <fill>
      <patternFill patternType="none"/>
    </fill>
    <fill>
      <patternFill patternType="gray125"/>
    </fill>
    <fill>
      <patternFill patternType="solid">
        <fgColor rgb="FF0D1117"/>
        <bgColor rgb="FF111820"/>
      </patternFill>
    </fill>
    <fill>
      <patternFill patternType="solid">
        <fgColor rgb="FFC9A84C"/>
        <bgColor rgb="FFF59E0B"/>
      </patternFill>
    </fill>
    <fill>
      <patternFill patternType="solid">
        <fgColor rgb="FF141D28"/>
        <bgColor rgb="FF111820"/>
      </patternFill>
    </fill>
    <fill>
      <patternFill patternType="solid">
        <fgColor rgb="FF1A2535"/>
        <bgColor rgb="FF141D28"/>
      </patternFill>
    </fill>
    <fill>
      <patternFill patternType="solid">
        <fgColor rgb="FF111820"/>
        <bgColor rgb="FF141D28"/>
      </patternFill>
    </fill>
  </fills>
  <borders count="11">
    <border diagonalUp="false" diagonalDown="false">
      <left/>
      <right/>
      <top/>
      <bottom/>
      <diagonal/>
    </border>
    <border diagonalUp="false" diagonalDown="false">
      <left/>
      <right/>
      <top/>
      <bottom style="medium">
        <color rgb="FFC9A84C"/>
      </bottom>
      <diagonal/>
    </border>
    <border diagonalUp="false" diagonalDown="false">
      <left style="thin">
        <color rgb="FF404040"/>
      </left>
      <right style="thin">
        <color rgb="FF404040"/>
      </right>
      <top style="thin">
        <color rgb="FF404040"/>
      </top>
      <bottom style="thin">
        <color rgb="FF404040"/>
      </bottom>
      <diagonal/>
    </border>
    <border diagonalUp="false" diagonalDown="false">
      <left style="thick">
        <color rgb="FFC9A84C"/>
      </left>
      <right style="thin">
        <color rgb="FF404040"/>
      </right>
      <top style="thin">
        <color rgb="FF404040"/>
      </top>
      <bottom style="thin">
        <color rgb="FF404040"/>
      </bottom>
      <diagonal/>
    </border>
    <border diagonalUp="false" diagonalDown="false">
      <left style="thick">
        <color rgb="FFF59E0B"/>
      </left>
      <right style="thin">
        <color rgb="FF404040"/>
      </right>
      <top style="thin">
        <color rgb="FF404040"/>
      </top>
      <bottom style="thin">
        <color rgb="FF404040"/>
      </bottom>
      <diagonal/>
    </border>
    <border diagonalUp="false" diagonalDown="false">
      <left style="thick">
        <color rgb="FF2ECC8A"/>
      </left>
      <right style="thin">
        <color rgb="FF404040"/>
      </right>
      <top style="thin">
        <color rgb="FF404040"/>
      </top>
      <bottom style="thin">
        <color rgb="FF404040"/>
      </bottom>
      <diagonal/>
    </border>
    <border diagonalUp="false" diagonalDown="false">
      <left style="thick">
        <color rgb="FF4FC3F7"/>
      </left>
      <right style="thin">
        <color rgb="FF404040"/>
      </right>
      <top style="thin">
        <color rgb="FF404040"/>
      </top>
      <bottom style="thin">
        <color rgb="FF404040"/>
      </bottom>
      <diagonal/>
    </border>
    <border diagonalUp="false" diagonalDown="false">
      <left style="thick">
        <color rgb="FFB39DDB"/>
      </left>
      <right style="thin">
        <color rgb="FF404040"/>
      </right>
      <top style="thin">
        <color rgb="FF404040"/>
      </top>
      <bottom style="thin">
        <color rgb="FF404040"/>
      </bottom>
      <diagonal/>
    </border>
    <border diagonalUp="false" diagonalDown="false">
      <left/>
      <right/>
      <top/>
      <bottom style="medium">
        <color rgb="FFE05252"/>
      </bottom>
      <diagonal/>
    </border>
    <border diagonalUp="false" diagonalDown="false">
      <left/>
      <right/>
      <top/>
      <bottom style="medium">
        <color rgb="FFE8C97A"/>
      </bottom>
      <diagonal/>
    </border>
    <border diagonalUp="false" diagonalDown="false">
      <left/>
      <right/>
      <top/>
      <bottom style="medium">
        <color rgb="FF2ECC8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2" fillId="2" borderId="0" xfId="0" applyFont="true" applyBorder="true" applyAlignment="true" applyProtection="false">
      <alignment horizontal="left" vertical="center" textRotation="0" wrapText="tru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8" fillId="2" borderId="0" xfId="0" applyFont="true" applyBorder="false" applyAlignment="true" applyProtection="false">
      <alignment horizontal="left" vertical="center" textRotation="0" wrapText="false" indent="0" shrinkToFit="false"/>
      <protection locked="true" hidden="false"/>
    </xf>
    <xf numFmtId="165" fontId="19" fillId="4" borderId="2" xfId="0" applyFont="true" applyBorder="true" applyAlignment="true" applyProtection="false">
      <alignment horizontal="right" vertical="center" textRotation="0" wrapText="false" indent="0" shrinkToFit="false"/>
      <protection locked="true" hidden="false"/>
    </xf>
    <xf numFmtId="164" fontId="14" fillId="2" borderId="0" xfId="0" applyFont="true" applyBorder="false" applyAlignment="true" applyProtection="false">
      <alignment horizontal="left" vertical="center" textRotation="0" wrapText="false" indent="0" shrinkToFit="false"/>
      <protection locked="true" hidden="false"/>
    </xf>
    <xf numFmtId="166" fontId="19" fillId="4" borderId="2" xfId="0" applyFont="true" applyBorder="true" applyAlignment="true" applyProtection="false">
      <alignment horizontal="right" vertical="center" textRotation="0" wrapText="false" indent="0" shrinkToFit="false"/>
      <protection locked="true" hidden="false"/>
    </xf>
    <xf numFmtId="164" fontId="19" fillId="4" borderId="2" xfId="0" applyFont="true" applyBorder="true" applyAlignment="true" applyProtection="false">
      <alignment horizontal="right" vertical="center" textRotation="0" wrapText="false" indent="0" shrinkToFit="false"/>
      <protection locked="true" hidden="false"/>
    </xf>
    <xf numFmtId="167" fontId="19" fillId="4" borderId="2" xfId="0" applyFont="true" applyBorder="true" applyAlignment="true" applyProtection="false">
      <alignment horizontal="right" vertical="center" textRotation="0" wrapText="false" indent="0" shrinkToFit="false"/>
      <protection locked="true" hidden="false"/>
    </xf>
    <xf numFmtId="168" fontId="20" fillId="4" borderId="2" xfId="0" applyFont="true" applyBorder="true" applyAlignment="true" applyProtection="false">
      <alignment horizontal="right" vertical="center" textRotation="0" wrapText="false" indent="0" shrinkToFit="false"/>
      <protection locked="true" hidden="false"/>
    </xf>
    <xf numFmtId="169" fontId="19" fillId="4" borderId="2" xfId="0" applyFont="true" applyBorder="true" applyAlignment="true" applyProtection="false">
      <alignment horizontal="right" vertical="center" textRotation="0" wrapText="false" indent="0" shrinkToFit="false"/>
      <protection locked="true" hidden="false"/>
    </xf>
    <xf numFmtId="166" fontId="20" fillId="4" borderId="2" xfId="0" applyFont="true" applyBorder="true" applyAlignment="true" applyProtection="false">
      <alignment horizontal="right" vertical="center" textRotation="0" wrapText="false" indent="0" shrinkToFit="false"/>
      <protection locked="true" hidden="false"/>
    </xf>
    <xf numFmtId="168" fontId="19" fillId="4" borderId="2" xfId="0" applyFont="true" applyBorder="true" applyAlignment="true" applyProtection="false">
      <alignment horizontal="right"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right" vertical="center" textRotation="0" wrapText="false" indent="0" shrinkToFit="false"/>
      <protection locked="true" hidden="false"/>
    </xf>
    <xf numFmtId="170" fontId="19" fillId="4" borderId="2" xfId="0" applyFont="true" applyBorder="true" applyAlignment="true" applyProtection="false">
      <alignment horizontal="right" vertical="center" textRotation="0" wrapText="false" indent="0" shrinkToFit="false"/>
      <protection locked="true" hidden="false"/>
    </xf>
    <xf numFmtId="171" fontId="19" fillId="4" borderId="2" xfId="0" applyFont="true" applyBorder="true" applyAlignment="true" applyProtection="false">
      <alignment horizontal="right" vertical="center" textRotation="0" wrapText="false" indent="0" shrinkToFit="false"/>
      <protection locked="true" hidden="false"/>
    </xf>
    <xf numFmtId="172" fontId="19" fillId="4" borderId="2" xfId="0" applyFont="true" applyBorder="true" applyAlignment="true" applyProtection="false">
      <alignment horizontal="right" vertical="center" textRotation="0" wrapText="false" indent="0" shrinkToFit="false"/>
      <protection locked="true" hidden="false"/>
    </xf>
    <xf numFmtId="164" fontId="21" fillId="2" borderId="0" xfId="0" applyFont="true" applyBorder="false" applyAlignment="true" applyProtection="false">
      <alignment horizontal="left" vertical="center"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64" fontId="23" fillId="2"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24" fillId="4" borderId="2" xfId="0" applyFont="true" applyBorder="true" applyAlignment="true" applyProtection="false">
      <alignment horizontal="center" vertical="center"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73" fontId="25" fillId="4" borderId="2" xfId="0" applyFont="true" applyBorder="true" applyAlignment="true" applyProtection="false">
      <alignment horizontal="right" vertical="center" textRotation="0" wrapText="false" indent="0" shrinkToFit="false"/>
      <protection locked="true" hidden="false"/>
    </xf>
    <xf numFmtId="168" fontId="26" fillId="4" borderId="2" xfId="0" applyFont="true" applyBorder="true" applyAlignment="true" applyProtection="false">
      <alignment horizontal="right" vertical="center" textRotation="0" wrapText="false" indent="0" shrinkToFit="false"/>
      <protection locked="true" hidden="false"/>
    </xf>
    <xf numFmtId="166" fontId="27" fillId="4" borderId="2" xfId="0" applyFont="true" applyBorder="true" applyAlignment="true" applyProtection="false">
      <alignment horizontal="right" vertical="center" textRotation="0" wrapText="false" indent="0" shrinkToFit="false"/>
      <protection locked="true" hidden="false"/>
    </xf>
    <xf numFmtId="174" fontId="6" fillId="4" borderId="2" xfId="0" applyFont="true" applyBorder="true" applyAlignment="true" applyProtection="false">
      <alignment horizontal="right" vertical="center" textRotation="0" wrapText="false" indent="0" shrinkToFit="false"/>
      <protection locked="true" hidden="false"/>
    </xf>
    <xf numFmtId="166" fontId="11" fillId="4" borderId="2" xfId="0" applyFont="true" applyBorder="true" applyAlignment="true" applyProtection="false">
      <alignment horizontal="right" vertical="center" textRotation="0" wrapText="false" indent="0" shrinkToFit="false"/>
      <protection locked="true" hidden="false"/>
    </xf>
    <xf numFmtId="174" fontId="11" fillId="4" borderId="2" xfId="0" applyFont="true" applyBorder="true" applyAlignment="true" applyProtection="false">
      <alignment horizontal="right" vertical="center" textRotation="0" wrapText="false" indent="0" shrinkToFit="false"/>
      <protection locked="true" hidden="false"/>
    </xf>
    <xf numFmtId="166" fontId="28" fillId="4" borderId="2" xfId="0" applyFont="true" applyBorder="true" applyAlignment="true" applyProtection="false">
      <alignment horizontal="right" vertical="center" textRotation="0" wrapText="false" indent="0" shrinkToFit="false"/>
      <protection locked="true" hidden="false"/>
    </xf>
    <xf numFmtId="174" fontId="29" fillId="4" borderId="2" xfId="0" applyFont="true" applyBorder="true" applyAlignment="true" applyProtection="false">
      <alignment horizontal="right" vertical="center" textRotation="0" wrapText="false" indent="0" shrinkToFit="false"/>
      <protection locked="true" hidden="false"/>
    </xf>
    <xf numFmtId="173" fontId="25" fillId="6" borderId="2" xfId="0" applyFont="true" applyBorder="true" applyAlignment="true" applyProtection="false">
      <alignment horizontal="right" vertical="center" textRotation="0" wrapText="false" indent="0" shrinkToFit="false"/>
      <protection locked="true" hidden="false"/>
    </xf>
    <xf numFmtId="168" fontId="26" fillId="6" borderId="2" xfId="0" applyFont="true" applyBorder="true" applyAlignment="true" applyProtection="false">
      <alignment horizontal="right" vertical="center" textRotation="0" wrapText="false" indent="0" shrinkToFit="false"/>
      <protection locked="true" hidden="false"/>
    </xf>
    <xf numFmtId="166" fontId="27" fillId="6" borderId="2" xfId="0" applyFont="true" applyBorder="true" applyAlignment="true" applyProtection="false">
      <alignment horizontal="right" vertical="center" textRotation="0" wrapText="false" indent="0" shrinkToFit="false"/>
      <protection locked="true" hidden="false"/>
    </xf>
    <xf numFmtId="174" fontId="6" fillId="6" borderId="2" xfId="0" applyFont="true" applyBorder="true" applyAlignment="true" applyProtection="false">
      <alignment horizontal="right" vertical="center" textRotation="0" wrapText="false" indent="0" shrinkToFit="false"/>
      <protection locked="true" hidden="false"/>
    </xf>
    <xf numFmtId="166" fontId="11" fillId="6" borderId="2" xfId="0" applyFont="true" applyBorder="true" applyAlignment="true" applyProtection="false">
      <alignment horizontal="right" vertical="center" textRotation="0" wrapText="false" indent="0" shrinkToFit="false"/>
      <protection locked="true" hidden="false"/>
    </xf>
    <xf numFmtId="174" fontId="11" fillId="6" borderId="2" xfId="0" applyFont="true" applyBorder="true" applyAlignment="true" applyProtection="false">
      <alignment horizontal="right" vertical="center" textRotation="0" wrapText="false" indent="0" shrinkToFit="false"/>
      <protection locked="true" hidden="false"/>
    </xf>
    <xf numFmtId="166" fontId="28" fillId="6" borderId="2" xfId="0" applyFont="true" applyBorder="true" applyAlignment="true" applyProtection="false">
      <alignment horizontal="right" vertical="center" textRotation="0" wrapText="false" indent="0" shrinkToFit="false"/>
      <protection locked="true" hidden="false"/>
    </xf>
    <xf numFmtId="174" fontId="29" fillId="6" borderId="2" xfId="0" applyFont="true" applyBorder="true" applyAlignment="true" applyProtection="false">
      <alignment horizontal="right" vertical="center" textRotation="0" wrapText="false" indent="0" shrinkToFit="false"/>
      <protection locked="true" hidden="false"/>
    </xf>
    <xf numFmtId="164" fontId="14" fillId="2" borderId="0"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10" fillId="4" borderId="3"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left" vertical="center" textRotation="0" wrapText="true" indent="0" shrinkToFit="false"/>
      <protection locked="true" hidden="false"/>
    </xf>
    <xf numFmtId="164" fontId="30" fillId="2" borderId="4" xfId="0" applyFont="true" applyBorder="true" applyAlignment="true" applyProtection="false">
      <alignment horizontal="center" vertical="center" textRotation="0" wrapText="true" indent="0" shrinkToFit="false"/>
      <protection locked="true" hidden="false"/>
    </xf>
    <xf numFmtId="164" fontId="18" fillId="2" borderId="2" xfId="0" applyFont="true" applyBorder="true" applyAlignment="true" applyProtection="false">
      <alignment horizontal="center" vertical="center" textRotation="0" wrapText="true" indent="0" shrinkToFit="false"/>
      <protection locked="true" hidden="false"/>
    </xf>
    <xf numFmtId="164" fontId="18" fillId="2" borderId="2" xfId="0" applyFont="true" applyBorder="true" applyAlignment="true" applyProtection="false">
      <alignment horizontal="left" vertical="center" textRotation="0" wrapText="true" indent="0" shrinkToFit="false"/>
      <protection locked="true" hidden="false"/>
    </xf>
    <xf numFmtId="164" fontId="29" fillId="4" borderId="5" xfId="0" applyFont="true" applyBorder="true" applyAlignment="true" applyProtection="false">
      <alignment horizontal="center" vertical="center" textRotation="0" wrapText="true" indent="0" shrinkToFit="false"/>
      <protection locked="true" hidden="false"/>
    </xf>
    <xf numFmtId="164" fontId="31" fillId="2" borderId="6" xfId="0" applyFont="true" applyBorder="true" applyAlignment="true" applyProtection="false">
      <alignment horizontal="center" vertical="center" textRotation="0" wrapText="true" indent="0" shrinkToFit="false"/>
      <protection locked="true" hidden="false"/>
    </xf>
    <xf numFmtId="164" fontId="32" fillId="4" borderId="7"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33" fillId="4" borderId="2" xfId="0" applyFont="true" applyBorder="true" applyAlignment="true" applyProtection="false">
      <alignment horizontal="center" vertical="center" textRotation="0" wrapText="fals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28" fillId="4" borderId="2" xfId="0" applyFont="true" applyBorder="true" applyAlignment="true" applyProtection="false">
      <alignment horizontal="center" vertical="center" textRotation="0" wrapText="true" indent="0" shrinkToFit="false"/>
      <protection locked="true" hidden="false"/>
    </xf>
    <xf numFmtId="164" fontId="6" fillId="4" borderId="8" xfId="0" applyFont="true" applyBorder="true" applyAlignment="true" applyProtection="false">
      <alignment horizontal="left" vertical="center" textRotation="0" wrapText="false" indent="0" shrinkToFit="false"/>
      <protection locked="true" hidden="false"/>
    </xf>
    <xf numFmtId="164" fontId="18" fillId="2" borderId="2" xfId="0" applyFont="true" applyBorder="true" applyAlignment="true" applyProtection="false">
      <alignment horizontal="left" vertical="center" textRotation="0" wrapText="false" indent="0" shrinkToFit="false"/>
      <protection locked="true" hidden="false"/>
    </xf>
    <xf numFmtId="175" fontId="16" fillId="4" borderId="2" xfId="0" applyFont="true" applyBorder="true" applyAlignment="true" applyProtection="false">
      <alignment horizontal="right" vertical="center" textRotation="0" wrapText="false" indent="0" shrinkToFit="false"/>
      <protection locked="true" hidden="false"/>
    </xf>
    <xf numFmtId="175" fontId="16" fillId="2" borderId="2" xfId="0" applyFont="true" applyBorder="true" applyAlignment="true" applyProtection="false">
      <alignment horizontal="right" vertical="center" textRotation="0" wrapText="false" indent="0" shrinkToFit="false"/>
      <protection locked="true" hidden="false"/>
    </xf>
    <xf numFmtId="175" fontId="20" fillId="5" borderId="2" xfId="0" applyFont="true" applyBorder="true" applyAlignment="true" applyProtection="false">
      <alignment horizontal="right" vertical="center" textRotation="0" wrapText="false" indent="0" shrinkToFit="false"/>
      <protection locked="true" hidden="false"/>
    </xf>
    <xf numFmtId="165" fontId="16" fillId="4" borderId="2" xfId="0" applyFont="true" applyBorder="true" applyAlignment="true" applyProtection="false">
      <alignment horizontal="right" vertical="center" textRotation="0" wrapText="false" indent="0" shrinkToFit="false"/>
      <protection locked="true" hidden="false"/>
    </xf>
    <xf numFmtId="165" fontId="16" fillId="2" borderId="2" xfId="0" applyFont="true" applyBorder="true" applyAlignment="true" applyProtection="false">
      <alignment horizontal="right" vertical="center" textRotation="0" wrapText="false" indent="0" shrinkToFit="false"/>
      <protection locked="true" hidden="false"/>
    </xf>
    <xf numFmtId="165" fontId="20" fillId="5" borderId="2" xfId="0" applyFont="true" applyBorder="true" applyAlignment="true" applyProtection="false">
      <alignment horizontal="right" vertical="center" textRotation="0" wrapText="false" indent="0" shrinkToFit="false"/>
      <protection locked="true" hidden="false"/>
    </xf>
    <xf numFmtId="166" fontId="34" fillId="4" borderId="2" xfId="0" applyFont="true" applyBorder="true" applyAlignment="true" applyProtection="false">
      <alignment horizontal="right" vertical="center" textRotation="0" wrapText="false" indent="0" shrinkToFit="false"/>
      <protection locked="true" hidden="false"/>
    </xf>
    <xf numFmtId="166" fontId="34" fillId="2" borderId="2" xfId="0" applyFont="true" applyBorder="true" applyAlignment="true" applyProtection="false">
      <alignment horizontal="right" vertical="center" textRotation="0" wrapText="false" indent="0" shrinkToFit="false"/>
      <protection locked="true" hidden="false"/>
    </xf>
    <xf numFmtId="166" fontId="6" fillId="5" borderId="2" xfId="0" applyFont="true" applyBorder="true" applyAlignment="true" applyProtection="false">
      <alignment horizontal="right" vertical="center" textRotation="0" wrapText="false" indent="0" shrinkToFit="false"/>
      <protection locked="true" hidden="false"/>
    </xf>
    <xf numFmtId="164" fontId="11" fillId="4" borderId="9" xfId="0" applyFont="true" applyBorder="true" applyAlignment="true" applyProtection="false">
      <alignment horizontal="left" vertical="center" textRotation="0" wrapText="false" indent="0" shrinkToFit="false"/>
      <protection locked="true" hidden="false"/>
    </xf>
    <xf numFmtId="166" fontId="35" fillId="4" borderId="2" xfId="0" applyFont="true" applyBorder="true" applyAlignment="true" applyProtection="false">
      <alignment horizontal="right" vertical="center" textRotation="0" wrapText="false" indent="0" shrinkToFit="false"/>
      <protection locked="true" hidden="false"/>
    </xf>
    <xf numFmtId="166" fontId="35" fillId="2" borderId="2" xfId="0" applyFont="true" applyBorder="true" applyAlignment="true" applyProtection="false">
      <alignment horizontal="right" vertical="center" textRotation="0" wrapText="false" indent="0" shrinkToFit="false"/>
      <protection locked="true" hidden="false"/>
    </xf>
    <xf numFmtId="166" fontId="11" fillId="5" borderId="2" xfId="0" applyFont="true" applyBorder="true" applyAlignment="true" applyProtection="false">
      <alignment horizontal="right" vertical="center" textRotation="0" wrapText="false" indent="0" shrinkToFit="false"/>
      <protection locked="true" hidden="false"/>
    </xf>
    <xf numFmtId="164" fontId="29" fillId="4" borderId="10" xfId="0" applyFont="true" applyBorder="true" applyAlignment="true" applyProtection="false">
      <alignment horizontal="left" vertical="center" textRotation="0" wrapText="false" indent="0" shrinkToFit="false"/>
      <protection locked="true" hidden="false"/>
    </xf>
    <xf numFmtId="166" fontId="36" fillId="4" borderId="2" xfId="0" applyFont="true" applyBorder="true" applyAlignment="true" applyProtection="false">
      <alignment horizontal="right" vertical="center" textRotation="0" wrapText="false" indent="0" shrinkToFit="false"/>
      <protection locked="true" hidden="false"/>
    </xf>
    <xf numFmtId="166" fontId="36" fillId="2" borderId="2" xfId="0" applyFont="true" applyBorder="true" applyAlignment="true" applyProtection="false">
      <alignment horizontal="right" vertical="center" textRotation="0" wrapText="false" indent="0" shrinkToFit="false"/>
      <protection locked="true" hidden="false"/>
    </xf>
    <xf numFmtId="166" fontId="29" fillId="5" borderId="2" xfId="0" applyFont="true" applyBorder="true" applyAlignment="true" applyProtection="false">
      <alignment horizontal="right"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76" fontId="25" fillId="4" borderId="2" xfId="0" applyFont="true" applyBorder="true" applyAlignment="true" applyProtection="false">
      <alignment horizontal="right" vertical="center" textRotation="0" wrapText="false" indent="0" shrinkToFit="false"/>
      <protection locked="true" hidden="false"/>
    </xf>
    <xf numFmtId="177" fontId="26" fillId="4" borderId="2" xfId="0" applyFont="true" applyBorder="true" applyAlignment="true" applyProtection="false">
      <alignment horizontal="right" vertical="center" textRotation="0" wrapText="false" indent="0" shrinkToFit="false"/>
      <protection locked="true" hidden="false"/>
    </xf>
    <xf numFmtId="177" fontId="29" fillId="4" borderId="2" xfId="0" applyFont="true" applyBorder="true" applyAlignment="true" applyProtection="false">
      <alignment horizontal="right" vertical="center" textRotation="0" wrapText="false" indent="0" shrinkToFit="false"/>
      <protection locked="true" hidden="false"/>
    </xf>
    <xf numFmtId="168" fontId="27" fillId="4" borderId="2" xfId="0" applyFont="true" applyBorder="true" applyAlignment="true" applyProtection="false">
      <alignment horizontal="right" vertical="center" textRotation="0" wrapText="false" indent="0" shrinkToFit="false"/>
      <protection locked="true" hidden="false"/>
    </xf>
    <xf numFmtId="178" fontId="29" fillId="4" borderId="2" xfId="0" applyFont="true" applyBorder="true" applyAlignment="true" applyProtection="false">
      <alignment horizontal="right" vertical="center" textRotation="0" wrapText="false" indent="0" shrinkToFit="false"/>
      <protection locked="true" hidden="false"/>
    </xf>
    <xf numFmtId="176" fontId="25" fillId="2" borderId="2" xfId="0" applyFont="true" applyBorder="true" applyAlignment="true" applyProtection="false">
      <alignment horizontal="right" vertical="center" textRotation="0" wrapText="false" indent="0" shrinkToFit="false"/>
      <protection locked="true" hidden="false"/>
    </xf>
    <xf numFmtId="177" fontId="26" fillId="2" borderId="2" xfId="0" applyFont="true" applyBorder="true" applyAlignment="true" applyProtection="false">
      <alignment horizontal="right" vertical="center" textRotation="0" wrapText="false" indent="0" shrinkToFit="false"/>
      <protection locked="true" hidden="false"/>
    </xf>
    <xf numFmtId="177" fontId="29" fillId="2" borderId="2" xfId="0" applyFont="true" applyBorder="true" applyAlignment="true" applyProtection="false">
      <alignment horizontal="right" vertical="center" textRotation="0" wrapText="false" indent="0" shrinkToFit="false"/>
      <protection locked="true" hidden="false"/>
    </xf>
    <xf numFmtId="168" fontId="27" fillId="2" borderId="2" xfId="0" applyFont="true" applyBorder="true" applyAlignment="true" applyProtection="false">
      <alignment horizontal="right" vertical="center" textRotation="0" wrapText="false" indent="0" shrinkToFit="false"/>
      <protection locked="true" hidden="false"/>
    </xf>
    <xf numFmtId="178" fontId="29" fillId="2"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D1117"/>
      <rgbColor rgb="FF808000"/>
      <rgbColor rgb="FF800080"/>
      <rgbColor rgb="FF008080"/>
      <rgbColor rgb="FFC9A84C"/>
      <rgbColor rgb="FF808080"/>
      <rgbColor rgb="FF9999FF"/>
      <rgbColor rgb="FF993366"/>
      <rgbColor rgb="FFE8E4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4FC3F7"/>
      <rgbColor rgb="FFFF99CC"/>
      <rgbColor rgb="FFB39DDB"/>
      <rgbColor rgb="FFE8C97A"/>
      <rgbColor rgb="FF3366FF"/>
      <rgbColor rgb="FF2ECC8A"/>
      <rgbColor rgb="FF99CC00"/>
      <rgbColor rgb="FFFFCC00"/>
      <rgbColor rgb="FFF59E0B"/>
      <rgbColor rgb="FFE05252"/>
      <rgbColor rgb="FF4A5A6A"/>
      <rgbColor rgb="FF8A9BB0"/>
      <rgbColor rgb="FF1A2535"/>
      <rgbColor rgb="FF339966"/>
      <rgbColor rgb="FF141D28"/>
      <rgbColor rgb="FF11182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L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4"/>
  </cols>
  <sheetData>
    <row r="1" customFormat="false" ht="15" hidden="false" customHeight="false" outlineLevel="0" collapsed="false">
      <c r="A1" s="1"/>
      <c r="B1" s="1"/>
      <c r="C1" s="1"/>
      <c r="D1" s="1"/>
      <c r="E1" s="1"/>
      <c r="F1" s="1"/>
      <c r="G1" s="1"/>
      <c r="H1" s="1"/>
      <c r="I1" s="1"/>
      <c r="J1" s="1"/>
      <c r="K1" s="1"/>
      <c r="L1" s="1"/>
    </row>
    <row r="2" customFormat="false" ht="15" hidden="false" customHeight="false" outlineLevel="0" collapsed="false">
      <c r="A2" s="1"/>
      <c r="B2" s="1"/>
      <c r="C2" s="1"/>
      <c r="D2" s="1"/>
      <c r="E2" s="1"/>
      <c r="F2" s="1"/>
      <c r="G2" s="1"/>
      <c r="H2" s="1"/>
      <c r="I2" s="1"/>
      <c r="J2" s="1"/>
      <c r="K2" s="1"/>
      <c r="L2" s="1"/>
    </row>
    <row r="3" customFormat="false" ht="24.45" hidden="false" customHeight="false" outlineLevel="0" collapsed="false">
      <c r="A3" s="1"/>
      <c r="B3" s="2" t="s">
        <v>0</v>
      </c>
      <c r="C3" s="2"/>
      <c r="D3" s="2"/>
      <c r="E3" s="2"/>
      <c r="F3" s="2"/>
      <c r="G3" s="2"/>
      <c r="H3" s="2"/>
      <c r="I3" s="2"/>
      <c r="J3" s="2"/>
      <c r="K3" s="2"/>
      <c r="L3" s="1"/>
    </row>
    <row r="4" customFormat="false" ht="15" hidden="false" customHeight="false" outlineLevel="0" collapsed="false">
      <c r="A4" s="1"/>
      <c r="B4" s="3" t="s">
        <v>1</v>
      </c>
      <c r="C4" s="3"/>
      <c r="D4" s="3"/>
      <c r="E4" s="3"/>
      <c r="F4" s="3"/>
      <c r="G4" s="3"/>
      <c r="H4" s="3"/>
      <c r="I4" s="3"/>
      <c r="J4" s="3"/>
      <c r="K4" s="3"/>
      <c r="L4" s="1"/>
    </row>
    <row r="5" customFormat="false" ht="15" hidden="false" customHeight="false" outlineLevel="0" collapsed="false">
      <c r="A5" s="1"/>
      <c r="B5" s="4" t="s">
        <v>2</v>
      </c>
      <c r="C5" s="4"/>
      <c r="D5" s="4"/>
      <c r="E5" s="4"/>
      <c r="F5" s="4"/>
      <c r="G5" s="4"/>
      <c r="H5" s="4"/>
      <c r="I5" s="4"/>
      <c r="J5" s="4"/>
      <c r="K5" s="4"/>
      <c r="L5" s="1"/>
    </row>
    <row r="6" customFormat="false" ht="15" hidden="false" customHeight="false" outlineLevel="0" collapsed="false">
      <c r="A6" s="1"/>
      <c r="B6" s="5"/>
      <c r="C6" s="5"/>
      <c r="D6" s="5"/>
      <c r="E6" s="5"/>
      <c r="F6" s="5"/>
      <c r="G6" s="5"/>
      <c r="H6" s="5"/>
      <c r="I6" s="5"/>
      <c r="J6" s="5"/>
      <c r="K6" s="5"/>
      <c r="L6" s="1"/>
    </row>
    <row r="7" customFormat="false" ht="15" hidden="false" customHeight="false" outlineLevel="0" collapsed="false">
      <c r="A7" s="1"/>
      <c r="B7" s="1"/>
      <c r="C7" s="1"/>
      <c r="D7" s="1"/>
      <c r="E7" s="1"/>
      <c r="F7" s="1"/>
      <c r="G7" s="1"/>
      <c r="H7" s="1"/>
      <c r="I7" s="1"/>
      <c r="J7" s="1"/>
      <c r="K7" s="1"/>
      <c r="L7" s="1"/>
    </row>
    <row r="8" customFormat="false" ht="18" hidden="false" customHeight="true" outlineLevel="0" collapsed="false">
      <c r="A8" s="1"/>
      <c r="B8" s="6" t="s">
        <v>3</v>
      </c>
      <c r="C8" s="6"/>
      <c r="D8" s="6" t="s">
        <v>4</v>
      </c>
      <c r="E8" s="6"/>
      <c r="F8" s="6" t="s">
        <v>5</v>
      </c>
      <c r="G8" s="6"/>
      <c r="H8" s="6" t="s">
        <v>6</v>
      </c>
      <c r="I8" s="6"/>
      <c r="J8" s="1"/>
      <c r="K8" s="1"/>
      <c r="L8" s="1"/>
    </row>
    <row r="9" customFormat="false" ht="30" hidden="false" customHeight="true" outlineLevel="0" collapsed="false">
      <c r="A9" s="1"/>
      <c r="B9" s="7" t="s">
        <v>7</v>
      </c>
      <c r="C9" s="7"/>
      <c r="D9" s="7" t="s">
        <v>8</v>
      </c>
      <c r="E9" s="7"/>
      <c r="F9" s="7" t="s">
        <v>9</v>
      </c>
      <c r="G9" s="7"/>
      <c r="H9" s="7" t="s">
        <v>10</v>
      </c>
      <c r="I9" s="7"/>
      <c r="J9" s="1"/>
      <c r="K9" s="1"/>
      <c r="L9" s="1"/>
    </row>
    <row r="10" customFormat="false" ht="15.75" hidden="false" customHeight="true" outlineLevel="0" collapsed="false">
      <c r="A10" s="1"/>
      <c r="B10" s="8" t="s">
        <v>11</v>
      </c>
      <c r="C10" s="8"/>
      <c r="D10" s="8" t="s">
        <v>12</v>
      </c>
      <c r="E10" s="8"/>
      <c r="F10" s="8" t="s">
        <v>13</v>
      </c>
      <c r="G10" s="8"/>
      <c r="H10" s="8" t="s">
        <v>14</v>
      </c>
      <c r="I10" s="8"/>
      <c r="J10" s="1"/>
      <c r="K10" s="1"/>
      <c r="L10" s="1"/>
    </row>
    <row r="11" customFormat="false" ht="15" hidden="false" customHeight="false" outlineLevel="0" collapsed="false">
      <c r="A11" s="1"/>
      <c r="B11" s="1"/>
      <c r="C11" s="1"/>
      <c r="D11" s="1"/>
      <c r="E11" s="1"/>
      <c r="F11" s="1"/>
      <c r="G11" s="1"/>
      <c r="H11" s="1"/>
      <c r="I11" s="1"/>
      <c r="J11" s="1"/>
      <c r="K11" s="1"/>
      <c r="L11" s="1"/>
    </row>
    <row r="12" customFormat="false" ht="15" hidden="false" customHeight="false" outlineLevel="0" collapsed="false">
      <c r="A12" s="1"/>
      <c r="B12" s="9" t="s">
        <v>15</v>
      </c>
      <c r="C12" s="9"/>
      <c r="D12" s="9"/>
      <c r="E12" s="9"/>
      <c r="F12" s="9"/>
      <c r="G12" s="9"/>
      <c r="H12" s="9"/>
      <c r="I12" s="9"/>
      <c r="J12" s="9"/>
      <c r="K12" s="9"/>
      <c r="L12" s="1"/>
    </row>
    <row r="13" customFormat="false" ht="18" hidden="false" customHeight="true" outlineLevel="0" collapsed="false">
      <c r="A13" s="1"/>
      <c r="B13" s="10" t="s">
        <v>16</v>
      </c>
      <c r="C13" s="11" t="s">
        <v>17</v>
      </c>
      <c r="D13" s="11"/>
      <c r="E13" s="11"/>
      <c r="F13" s="11"/>
      <c r="G13" s="11"/>
      <c r="H13" s="11"/>
      <c r="I13" s="11"/>
      <c r="J13" s="11"/>
      <c r="K13" s="11"/>
      <c r="L13" s="1"/>
    </row>
    <row r="14" customFormat="false" ht="18" hidden="false" customHeight="true" outlineLevel="0" collapsed="false">
      <c r="A14" s="1"/>
      <c r="B14" s="10" t="s">
        <v>18</v>
      </c>
      <c r="C14" s="11" t="s">
        <v>19</v>
      </c>
      <c r="D14" s="11"/>
      <c r="E14" s="11"/>
      <c r="F14" s="11"/>
      <c r="G14" s="11"/>
      <c r="H14" s="11"/>
      <c r="I14" s="11"/>
      <c r="J14" s="11"/>
      <c r="K14" s="11"/>
      <c r="L14" s="1"/>
    </row>
    <row r="15" customFormat="false" ht="18" hidden="false" customHeight="true" outlineLevel="0" collapsed="false">
      <c r="A15" s="1"/>
      <c r="B15" s="10" t="s">
        <v>20</v>
      </c>
      <c r="C15" s="11" t="s">
        <v>21</v>
      </c>
      <c r="D15" s="11"/>
      <c r="E15" s="11"/>
      <c r="F15" s="11"/>
      <c r="G15" s="11"/>
      <c r="H15" s="11"/>
      <c r="I15" s="11"/>
      <c r="J15" s="11"/>
      <c r="K15" s="11"/>
      <c r="L15" s="1"/>
    </row>
    <row r="16" customFormat="false" ht="18" hidden="false" customHeight="true" outlineLevel="0" collapsed="false">
      <c r="A16" s="1"/>
      <c r="B16" s="10" t="s">
        <v>22</v>
      </c>
      <c r="C16" s="11" t="s">
        <v>23</v>
      </c>
      <c r="D16" s="11"/>
      <c r="E16" s="11"/>
      <c r="F16" s="11"/>
      <c r="G16" s="11"/>
      <c r="H16" s="11"/>
      <c r="I16" s="11"/>
      <c r="J16" s="11"/>
      <c r="K16" s="11"/>
      <c r="L16" s="1"/>
    </row>
    <row r="17" customFormat="false" ht="18" hidden="false" customHeight="true" outlineLevel="0" collapsed="false">
      <c r="A17" s="1"/>
      <c r="B17" s="10" t="s">
        <v>24</v>
      </c>
      <c r="C17" s="11" t="s">
        <v>25</v>
      </c>
      <c r="D17" s="11"/>
      <c r="E17" s="11"/>
      <c r="F17" s="11"/>
      <c r="G17" s="11"/>
      <c r="H17" s="11"/>
      <c r="I17" s="11"/>
      <c r="J17" s="11"/>
      <c r="K17" s="11"/>
      <c r="L17" s="1"/>
    </row>
    <row r="18" customFormat="false" ht="15" hidden="false" customHeight="false" outlineLevel="0" collapsed="false">
      <c r="A18" s="1"/>
      <c r="B18" s="1"/>
      <c r="C18" s="1"/>
      <c r="D18" s="1"/>
      <c r="E18" s="1"/>
      <c r="F18" s="1"/>
      <c r="G18" s="1"/>
      <c r="H18" s="1"/>
      <c r="I18" s="1"/>
      <c r="J18" s="1"/>
      <c r="K18" s="1"/>
      <c r="L18" s="1"/>
    </row>
    <row r="19" customFormat="false" ht="15" hidden="false" customHeight="false" outlineLevel="0" collapsed="false">
      <c r="A19" s="1"/>
      <c r="B19" s="1"/>
      <c r="C19" s="1"/>
      <c r="D19" s="1"/>
      <c r="E19" s="1"/>
      <c r="F19" s="1"/>
      <c r="G19" s="1"/>
      <c r="H19" s="1"/>
      <c r="I19" s="1"/>
      <c r="J19" s="1"/>
      <c r="K19" s="1"/>
      <c r="L19" s="1"/>
    </row>
    <row r="20" customFormat="false" ht="15" hidden="false" customHeight="false" outlineLevel="0" collapsed="false">
      <c r="A20" s="1"/>
      <c r="B20" s="1"/>
      <c r="C20" s="1"/>
      <c r="D20" s="1"/>
      <c r="E20" s="1"/>
      <c r="F20" s="1"/>
      <c r="G20" s="1"/>
      <c r="H20" s="1"/>
      <c r="I20" s="1"/>
      <c r="J20" s="1"/>
      <c r="K20" s="1"/>
      <c r="L20" s="1"/>
    </row>
    <row r="21" customFormat="false" ht="15" hidden="false" customHeight="false" outlineLevel="0" collapsed="false">
      <c r="A21" s="1"/>
      <c r="B21" s="1"/>
      <c r="C21" s="1"/>
      <c r="D21" s="1"/>
      <c r="E21" s="1"/>
      <c r="F21" s="1"/>
      <c r="G21" s="1"/>
      <c r="H21" s="1"/>
      <c r="I21" s="1"/>
      <c r="J21" s="1"/>
      <c r="K21" s="1"/>
      <c r="L21" s="1"/>
    </row>
    <row r="22" customFormat="false" ht="15" hidden="false" customHeight="false" outlineLevel="0" collapsed="false">
      <c r="A22" s="1"/>
      <c r="B22" s="1"/>
      <c r="C22" s="1"/>
      <c r="D22" s="1"/>
      <c r="E22" s="1"/>
      <c r="F22" s="1"/>
      <c r="G22" s="1"/>
      <c r="H22" s="1"/>
      <c r="I22" s="1"/>
      <c r="J22" s="1"/>
      <c r="K22" s="1"/>
      <c r="L22" s="1"/>
    </row>
    <row r="23" customFormat="false" ht="15" hidden="false" customHeight="false" outlineLevel="0" collapsed="false">
      <c r="A23" s="1"/>
      <c r="B23" s="1"/>
      <c r="C23" s="1"/>
      <c r="D23" s="1"/>
      <c r="E23" s="1"/>
      <c r="F23" s="1"/>
      <c r="G23" s="1"/>
      <c r="H23" s="1"/>
      <c r="I23" s="1"/>
      <c r="J23" s="1"/>
      <c r="K23" s="1"/>
      <c r="L23" s="1"/>
    </row>
    <row r="24" customFormat="false" ht="15" hidden="false" customHeight="false" outlineLevel="0" collapsed="false">
      <c r="A24" s="1"/>
      <c r="B24" s="1"/>
      <c r="C24" s="1"/>
      <c r="D24" s="1"/>
      <c r="E24" s="1"/>
      <c r="F24" s="1"/>
      <c r="G24" s="1"/>
      <c r="H24" s="1"/>
      <c r="I24" s="1"/>
      <c r="J24" s="1"/>
      <c r="K24" s="1"/>
      <c r="L24" s="1"/>
    </row>
    <row r="25" customFormat="false" ht="15" hidden="false" customHeight="true" outlineLevel="0" collapsed="false">
      <c r="A25" s="1"/>
      <c r="B25" s="12" t="s">
        <v>26</v>
      </c>
      <c r="C25" s="12"/>
      <c r="D25" s="12"/>
      <c r="E25" s="12"/>
      <c r="F25" s="12"/>
      <c r="G25" s="12"/>
      <c r="H25" s="12"/>
      <c r="I25" s="12"/>
      <c r="J25" s="12"/>
      <c r="K25" s="12"/>
      <c r="L25" s="1"/>
    </row>
    <row r="26" customFormat="false" ht="15" hidden="false" customHeight="false" outlineLevel="0" collapsed="false">
      <c r="A26" s="1"/>
      <c r="B26" s="12"/>
      <c r="C26" s="12"/>
      <c r="D26" s="12"/>
      <c r="E26" s="12"/>
      <c r="F26" s="12"/>
      <c r="G26" s="12"/>
      <c r="H26" s="12"/>
      <c r="I26" s="12"/>
      <c r="J26" s="12"/>
      <c r="K26" s="12"/>
      <c r="L26" s="1"/>
    </row>
    <row r="27" customFormat="false" ht="15" hidden="false" customHeight="false" outlineLevel="0" collapsed="false">
      <c r="A27" s="1"/>
      <c r="B27" s="12"/>
      <c r="C27" s="12"/>
      <c r="D27" s="12"/>
      <c r="E27" s="12"/>
      <c r="F27" s="12"/>
      <c r="G27" s="12"/>
      <c r="H27" s="12"/>
      <c r="I27" s="12"/>
      <c r="J27" s="12"/>
      <c r="K27" s="12"/>
      <c r="L27" s="1"/>
    </row>
    <row r="28" customFormat="false" ht="15" hidden="false" customHeight="false" outlineLevel="0" collapsed="false">
      <c r="A28" s="1"/>
      <c r="B28" s="12"/>
      <c r="C28" s="12"/>
      <c r="D28" s="12"/>
      <c r="E28" s="12"/>
      <c r="F28" s="12"/>
      <c r="G28" s="12"/>
      <c r="H28" s="12"/>
      <c r="I28" s="12"/>
      <c r="J28" s="12"/>
      <c r="K28" s="12"/>
      <c r="L28" s="1"/>
    </row>
    <row r="29" customFormat="false" ht="15" hidden="false" customHeight="false" outlineLevel="0" collapsed="false">
      <c r="A29" s="1"/>
      <c r="B29" s="12"/>
      <c r="C29" s="12"/>
      <c r="D29" s="12"/>
      <c r="E29" s="12"/>
      <c r="F29" s="12"/>
      <c r="G29" s="12"/>
      <c r="H29" s="12"/>
      <c r="I29" s="12"/>
      <c r="J29" s="12"/>
      <c r="K29" s="12"/>
      <c r="L29" s="1"/>
    </row>
    <row r="30" customFormat="false" ht="15" hidden="false" customHeight="false" outlineLevel="0" collapsed="false">
      <c r="A30" s="1"/>
      <c r="B30" s="12"/>
      <c r="C30" s="12"/>
      <c r="D30" s="12"/>
      <c r="E30" s="12"/>
      <c r="F30" s="12"/>
      <c r="G30" s="12"/>
      <c r="H30" s="12"/>
      <c r="I30" s="12"/>
      <c r="J30" s="12"/>
      <c r="K30" s="12"/>
      <c r="L30" s="1"/>
    </row>
    <row r="31" customFormat="false" ht="15" hidden="false" customHeight="false" outlineLevel="0" collapsed="false">
      <c r="A31" s="1"/>
      <c r="B31" s="1"/>
      <c r="C31" s="1"/>
      <c r="D31" s="1"/>
      <c r="E31" s="1"/>
      <c r="F31" s="1"/>
      <c r="G31" s="1"/>
      <c r="H31" s="1"/>
      <c r="I31" s="1"/>
      <c r="J31" s="1"/>
      <c r="K31" s="1"/>
      <c r="L31" s="1"/>
    </row>
    <row r="32" customFormat="false" ht="15" hidden="false" customHeight="false" outlineLevel="0" collapsed="false">
      <c r="A32" s="1"/>
      <c r="B32" s="1"/>
      <c r="C32" s="1"/>
      <c r="D32" s="1"/>
      <c r="E32" s="1"/>
      <c r="F32" s="1"/>
      <c r="G32" s="1"/>
      <c r="H32" s="1"/>
      <c r="I32" s="1"/>
      <c r="J32" s="1"/>
      <c r="K32" s="1"/>
      <c r="L32" s="1"/>
    </row>
    <row r="33" customFormat="false" ht="15" hidden="false" customHeight="false" outlineLevel="0" collapsed="false">
      <c r="A33" s="1"/>
      <c r="B33" s="1"/>
      <c r="C33" s="1"/>
      <c r="D33" s="1"/>
      <c r="E33" s="1"/>
      <c r="F33" s="1"/>
      <c r="G33" s="1"/>
      <c r="H33" s="1"/>
      <c r="I33" s="1"/>
      <c r="J33" s="1"/>
      <c r="K33" s="1"/>
      <c r="L33" s="1"/>
    </row>
    <row r="34" customFormat="false" ht="15" hidden="false" customHeight="false" outlineLevel="0" collapsed="false">
      <c r="A34" s="1"/>
      <c r="B34" s="1"/>
      <c r="C34" s="1"/>
      <c r="D34" s="1"/>
      <c r="E34" s="1"/>
      <c r="F34" s="1"/>
      <c r="G34" s="1"/>
      <c r="H34" s="1"/>
      <c r="I34" s="1"/>
      <c r="J34" s="1"/>
      <c r="K34" s="1"/>
      <c r="L34" s="1"/>
    </row>
    <row r="35" customFormat="false" ht="15" hidden="false" customHeight="false" outlineLevel="0" collapsed="false">
      <c r="A35" s="1"/>
      <c r="B35" s="1"/>
      <c r="C35" s="1"/>
      <c r="D35" s="1"/>
      <c r="E35" s="1"/>
      <c r="F35" s="1"/>
      <c r="G35" s="1"/>
      <c r="H35" s="1"/>
      <c r="I35" s="1"/>
      <c r="J35" s="1"/>
      <c r="K35" s="1"/>
      <c r="L35" s="1"/>
    </row>
    <row r="36" customFormat="false" ht="15" hidden="false" customHeight="false" outlineLevel="0" collapsed="false">
      <c r="A36" s="1"/>
      <c r="B36" s="1"/>
      <c r="C36" s="1"/>
      <c r="D36" s="1"/>
      <c r="E36" s="1"/>
      <c r="F36" s="1"/>
      <c r="G36" s="1"/>
      <c r="H36" s="1"/>
      <c r="I36" s="1"/>
      <c r="J36" s="1"/>
      <c r="K36" s="1"/>
      <c r="L36" s="1"/>
    </row>
    <row r="37" customFormat="false" ht="15" hidden="false" customHeight="false" outlineLevel="0" collapsed="false">
      <c r="A37" s="1"/>
      <c r="B37" s="1"/>
      <c r="C37" s="1"/>
      <c r="D37" s="1"/>
      <c r="E37" s="1"/>
      <c r="F37" s="1"/>
      <c r="G37" s="1"/>
      <c r="H37" s="1"/>
      <c r="I37" s="1"/>
      <c r="J37" s="1"/>
      <c r="K37" s="1"/>
      <c r="L37" s="1"/>
    </row>
    <row r="38" customFormat="false" ht="15" hidden="false" customHeight="false" outlineLevel="0" collapsed="false">
      <c r="A38" s="1"/>
      <c r="B38" s="1"/>
      <c r="C38" s="1"/>
      <c r="D38" s="1"/>
      <c r="E38" s="1"/>
      <c r="F38" s="1"/>
      <c r="G38" s="1"/>
      <c r="H38" s="1"/>
      <c r="I38" s="1"/>
      <c r="J38" s="1"/>
      <c r="K38" s="1"/>
      <c r="L38" s="1"/>
    </row>
    <row r="39" customFormat="false" ht="15" hidden="false" customHeight="false" outlineLevel="0" collapsed="false">
      <c r="A39" s="1"/>
      <c r="B39" s="1"/>
      <c r="C39" s="1"/>
      <c r="D39" s="1"/>
      <c r="E39" s="1"/>
      <c r="F39" s="1"/>
      <c r="G39" s="1"/>
      <c r="H39" s="1"/>
      <c r="I39" s="1"/>
      <c r="J39" s="1"/>
      <c r="K39" s="1"/>
      <c r="L39" s="1"/>
    </row>
    <row r="40" customFormat="false" ht="15" hidden="false" customHeight="false" outlineLevel="0" collapsed="false">
      <c r="A40" s="1"/>
      <c r="B40" s="1"/>
      <c r="C40" s="1"/>
      <c r="D40" s="1"/>
      <c r="E40" s="1"/>
      <c r="F40" s="1"/>
      <c r="G40" s="1"/>
      <c r="H40" s="1"/>
      <c r="I40" s="1"/>
      <c r="J40" s="1"/>
      <c r="K40" s="1"/>
      <c r="L40" s="1"/>
    </row>
  </sheetData>
  <mergeCells count="22">
    <mergeCell ref="B3:K3"/>
    <mergeCell ref="B4:K4"/>
    <mergeCell ref="B5:K5"/>
    <mergeCell ref="B8:C8"/>
    <mergeCell ref="D8:E8"/>
    <mergeCell ref="F8:G8"/>
    <mergeCell ref="H8:I8"/>
    <mergeCell ref="B9:C9"/>
    <mergeCell ref="D9:E9"/>
    <mergeCell ref="F9:G9"/>
    <mergeCell ref="H9:I9"/>
    <mergeCell ref="B10:C10"/>
    <mergeCell ref="D10:E10"/>
    <mergeCell ref="F10:G10"/>
    <mergeCell ref="H10:I10"/>
    <mergeCell ref="B12:K12"/>
    <mergeCell ref="C13:K13"/>
    <mergeCell ref="C14:K14"/>
    <mergeCell ref="C15:K15"/>
    <mergeCell ref="C16:K16"/>
    <mergeCell ref="C17:K17"/>
    <mergeCell ref="B25:K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J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0"/>
    <col collapsed="false" customWidth="true" hidden="false" outlineLevel="0" max="4" min="4" style="0" width="22"/>
    <col collapsed="false" customWidth="true" hidden="false" outlineLevel="0" max="5" min="5" style="0" width="38"/>
  </cols>
  <sheetData>
    <row r="1" customFormat="false" ht="15" hidden="false" customHeight="false" outlineLevel="0" collapsed="false">
      <c r="A1" s="1"/>
      <c r="B1" s="1"/>
      <c r="C1" s="1"/>
      <c r="D1" s="1"/>
      <c r="E1" s="1"/>
      <c r="F1" s="1"/>
      <c r="G1" s="1"/>
      <c r="H1" s="1"/>
      <c r="I1" s="1"/>
      <c r="J1" s="1"/>
    </row>
    <row r="2" customFormat="false" ht="16.15" hidden="false" customHeight="false" outlineLevel="0" collapsed="false">
      <c r="A2" s="1"/>
      <c r="B2" s="13" t="s">
        <v>27</v>
      </c>
      <c r="C2" s="1"/>
      <c r="D2" s="1"/>
      <c r="E2" s="1"/>
      <c r="F2" s="1"/>
      <c r="G2" s="1"/>
      <c r="H2" s="1"/>
      <c r="I2" s="1"/>
      <c r="J2" s="1"/>
    </row>
    <row r="3" customFormat="false" ht="15" hidden="false" customHeight="false" outlineLevel="0" collapsed="false">
      <c r="A3" s="1"/>
      <c r="B3" s="14" t="s">
        <v>28</v>
      </c>
      <c r="C3" s="15" t="s">
        <v>29</v>
      </c>
      <c r="D3" s="16" t="s">
        <v>30</v>
      </c>
      <c r="E3" s="17" t="s">
        <v>31</v>
      </c>
      <c r="F3" s="1"/>
      <c r="G3" s="1"/>
      <c r="H3" s="1"/>
      <c r="I3" s="1"/>
      <c r="J3" s="1"/>
    </row>
    <row r="4" customFormat="false" ht="15" hidden="false" customHeight="false" outlineLevel="0" collapsed="false">
      <c r="A4" s="1"/>
      <c r="B4" s="1"/>
      <c r="C4" s="1"/>
      <c r="D4" s="1"/>
      <c r="E4" s="1"/>
      <c r="F4" s="1"/>
      <c r="G4" s="1"/>
      <c r="H4" s="1"/>
      <c r="I4" s="1"/>
      <c r="J4" s="1"/>
    </row>
    <row r="5" customFormat="false" ht="15" hidden="false" customHeight="false" outlineLevel="0" collapsed="false">
      <c r="A5" s="1"/>
      <c r="B5" s="18" t="s">
        <v>32</v>
      </c>
      <c r="C5" s="18"/>
      <c r="D5" s="18"/>
      <c r="E5" s="18"/>
      <c r="F5" s="1"/>
      <c r="G5" s="1"/>
      <c r="H5" s="1"/>
      <c r="I5" s="1"/>
      <c r="J5" s="1"/>
    </row>
    <row r="6" customFormat="false" ht="15" hidden="false" customHeight="false" outlineLevel="0" collapsed="false">
      <c r="A6" s="1"/>
      <c r="B6" s="19" t="s">
        <v>33</v>
      </c>
      <c r="C6" s="20" t="n">
        <v>35</v>
      </c>
      <c r="D6" s="1"/>
      <c r="E6" s="21" t="s">
        <v>34</v>
      </c>
      <c r="F6" s="1"/>
      <c r="G6" s="1"/>
      <c r="H6" s="1"/>
      <c r="I6" s="1"/>
      <c r="J6" s="1"/>
    </row>
    <row r="7" customFormat="false" ht="15" hidden="false" customHeight="false" outlineLevel="0" collapsed="false">
      <c r="A7" s="1"/>
      <c r="B7" s="19" t="s">
        <v>35</v>
      </c>
      <c r="C7" s="22" t="n">
        <v>3.5</v>
      </c>
      <c r="D7" s="1"/>
      <c r="E7" s="21" t="s">
        <v>36</v>
      </c>
      <c r="F7" s="1"/>
      <c r="G7" s="1"/>
      <c r="H7" s="1"/>
      <c r="I7" s="1"/>
      <c r="J7" s="1"/>
    </row>
    <row r="8" customFormat="false" ht="15" hidden="false" customHeight="false" outlineLevel="0" collapsed="false">
      <c r="A8" s="1"/>
      <c r="B8" s="19" t="s">
        <v>37</v>
      </c>
      <c r="C8" s="20" t="n">
        <v>1</v>
      </c>
      <c r="D8" s="1"/>
      <c r="E8" s="21" t="s">
        <v>38</v>
      </c>
      <c r="F8" s="1"/>
      <c r="G8" s="1"/>
      <c r="H8" s="1"/>
      <c r="I8" s="1"/>
      <c r="J8" s="1"/>
    </row>
    <row r="9" customFormat="false" ht="15" hidden="false" customHeight="false" outlineLevel="0" collapsed="false">
      <c r="A9" s="1"/>
      <c r="B9" s="19" t="s">
        <v>5</v>
      </c>
      <c r="C9" s="23" t="s">
        <v>9</v>
      </c>
      <c r="D9" s="1"/>
      <c r="E9" s="21" t="s">
        <v>39</v>
      </c>
      <c r="F9" s="1"/>
      <c r="G9" s="1"/>
      <c r="H9" s="1"/>
      <c r="I9" s="1"/>
      <c r="J9" s="1"/>
    </row>
    <row r="10" customFormat="false" ht="15" hidden="false" customHeight="false" outlineLevel="0" collapsed="false">
      <c r="A10" s="1"/>
      <c r="B10" s="19" t="s">
        <v>40</v>
      </c>
      <c r="C10" s="24" t="n">
        <v>94</v>
      </c>
      <c r="D10" s="1"/>
      <c r="E10" s="21" t="s">
        <v>41</v>
      </c>
      <c r="F10" s="1"/>
      <c r="G10" s="1"/>
      <c r="H10" s="1"/>
      <c r="I10" s="1"/>
      <c r="J10" s="1"/>
    </row>
    <row r="11" customFormat="false" ht="15" hidden="false" customHeight="false" outlineLevel="0" collapsed="false">
      <c r="A11" s="1"/>
      <c r="B11" s="19" t="s">
        <v>42</v>
      </c>
      <c r="C11" s="25" t="n">
        <f aca="false">C6/C7</f>
        <v>10</v>
      </c>
      <c r="D11" s="1"/>
      <c r="E11" s="14" t="s">
        <v>43</v>
      </c>
      <c r="F11" s="1"/>
      <c r="G11" s="1"/>
      <c r="H11" s="1"/>
      <c r="I11" s="1"/>
      <c r="J11" s="1"/>
    </row>
    <row r="12" customFormat="false" ht="15" hidden="false" customHeight="false" outlineLevel="0" collapsed="false">
      <c r="A12" s="1"/>
      <c r="B12" s="1"/>
      <c r="C12" s="1"/>
      <c r="D12" s="1"/>
      <c r="E12" s="1"/>
      <c r="F12" s="1"/>
      <c r="G12" s="1"/>
      <c r="H12" s="1"/>
      <c r="I12" s="1"/>
      <c r="J12" s="1"/>
    </row>
    <row r="13" customFormat="false" ht="15" hidden="false" customHeight="false" outlineLevel="0" collapsed="false">
      <c r="A13" s="1"/>
      <c r="B13" s="18" t="s">
        <v>44</v>
      </c>
      <c r="C13" s="18"/>
      <c r="D13" s="18"/>
      <c r="E13" s="18"/>
      <c r="F13" s="1"/>
      <c r="G13" s="1"/>
      <c r="H13" s="1"/>
      <c r="I13" s="1"/>
      <c r="J13" s="1"/>
    </row>
    <row r="14" customFormat="false" ht="15" hidden="false" customHeight="false" outlineLevel="0" collapsed="false">
      <c r="A14" s="1"/>
      <c r="B14" s="19" t="s">
        <v>45</v>
      </c>
      <c r="C14" s="26" t="n">
        <v>12</v>
      </c>
      <c r="D14" s="1"/>
      <c r="E14" s="21" t="s">
        <v>46</v>
      </c>
      <c r="F14" s="1"/>
      <c r="G14" s="1"/>
      <c r="H14" s="1"/>
      <c r="I14" s="1"/>
      <c r="J14" s="1"/>
    </row>
    <row r="15" customFormat="false" ht="15" hidden="false" customHeight="false" outlineLevel="0" collapsed="false">
      <c r="A15" s="1"/>
      <c r="B15" s="19" t="s">
        <v>47</v>
      </c>
      <c r="C15" s="26" t="n">
        <v>40</v>
      </c>
      <c r="D15" s="1"/>
      <c r="E15" s="21" t="s">
        <v>48</v>
      </c>
      <c r="F15" s="1"/>
      <c r="G15" s="1"/>
      <c r="H15" s="1"/>
      <c r="I15" s="1"/>
      <c r="J15" s="1"/>
    </row>
    <row r="16" customFormat="false" ht="15" hidden="false" customHeight="false" outlineLevel="0" collapsed="false">
      <c r="A16" s="1"/>
      <c r="B16" s="19" t="s">
        <v>49</v>
      </c>
      <c r="C16" s="27" t="n">
        <f aca="false">(C14+C15)*C10/10000000</f>
        <v>0.0004888</v>
      </c>
      <c r="D16" s="1"/>
      <c r="E16" s="14" t="s">
        <v>50</v>
      </c>
      <c r="F16" s="1"/>
      <c r="G16" s="1"/>
      <c r="H16" s="1"/>
      <c r="I16" s="1"/>
      <c r="J16" s="1"/>
    </row>
    <row r="17" customFormat="false" ht="15" hidden="false" customHeight="false" outlineLevel="0" collapsed="false">
      <c r="A17" s="1"/>
      <c r="B17" s="19" t="s">
        <v>51</v>
      </c>
      <c r="C17" s="28" t="n">
        <v>0.23</v>
      </c>
      <c r="D17" s="1"/>
      <c r="E17" s="21" t="s">
        <v>52</v>
      </c>
      <c r="F17" s="1"/>
      <c r="G17" s="1"/>
      <c r="H17" s="1"/>
      <c r="I17" s="1"/>
      <c r="J17" s="1"/>
    </row>
    <row r="18" customFormat="false" ht="15" hidden="false" customHeight="false" outlineLevel="0" collapsed="false">
      <c r="A18" s="1"/>
      <c r="B18" s="1"/>
      <c r="C18" s="1"/>
      <c r="D18" s="1"/>
      <c r="E18" s="1"/>
      <c r="F18" s="1"/>
      <c r="G18" s="1"/>
      <c r="H18" s="1"/>
      <c r="I18" s="1"/>
      <c r="J18" s="1"/>
    </row>
    <row r="19" customFormat="false" ht="15" hidden="false" customHeight="false" outlineLevel="0" collapsed="false">
      <c r="A19" s="1"/>
      <c r="B19" s="18" t="s">
        <v>53</v>
      </c>
      <c r="C19" s="18"/>
      <c r="D19" s="18"/>
      <c r="E19" s="18"/>
      <c r="F19" s="1"/>
      <c r="G19" s="1"/>
      <c r="H19" s="1"/>
      <c r="I19" s="1"/>
      <c r="J19" s="1"/>
    </row>
    <row r="20" customFormat="false" ht="15" hidden="false" customHeight="false" outlineLevel="0" collapsed="false">
      <c r="A20" s="1"/>
      <c r="B20" s="19" t="s">
        <v>54</v>
      </c>
      <c r="C20" s="28" t="n">
        <v>0.2</v>
      </c>
      <c r="D20" s="1"/>
      <c r="E20" s="21" t="s">
        <v>55</v>
      </c>
      <c r="F20" s="1"/>
      <c r="G20" s="1"/>
      <c r="H20" s="1"/>
      <c r="I20" s="1"/>
      <c r="J20" s="1"/>
    </row>
    <row r="21" customFormat="false" ht="15" hidden="false" customHeight="false" outlineLevel="0" collapsed="false">
      <c r="A21" s="1"/>
      <c r="B21" s="1"/>
      <c r="C21" s="1"/>
      <c r="D21" s="1"/>
      <c r="E21" s="1"/>
      <c r="F21" s="1"/>
      <c r="G21" s="1"/>
      <c r="H21" s="1"/>
      <c r="I21" s="1"/>
      <c r="J21" s="1"/>
    </row>
    <row r="22" customFormat="false" ht="15" hidden="false" customHeight="false" outlineLevel="0" collapsed="false">
      <c r="A22" s="1"/>
      <c r="B22" s="18" t="s">
        <v>56</v>
      </c>
      <c r="C22" s="18"/>
      <c r="D22" s="18"/>
      <c r="E22" s="18"/>
      <c r="F22" s="1"/>
      <c r="G22" s="1"/>
      <c r="H22" s="1"/>
      <c r="I22" s="1"/>
      <c r="J22" s="1"/>
    </row>
    <row r="23" customFormat="false" ht="15" hidden="false" customHeight="false" outlineLevel="0" collapsed="false">
      <c r="A23" s="1"/>
      <c r="B23" s="29" t="s">
        <v>57</v>
      </c>
      <c r="C23" s="30" t="s">
        <v>58</v>
      </c>
      <c r="D23" s="30" t="s">
        <v>59</v>
      </c>
      <c r="E23" s="30" t="s">
        <v>60</v>
      </c>
      <c r="F23" s="1"/>
      <c r="G23" s="1"/>
      <c r="H23" s="1"/>
      <c r="I23" s="1"/>
      <c r="J23" s="1"/>
    </row>
    <row r="24" customFormat="false" ht="18" hidden="false" customHeight="true" outlineLevel="0" collapsed="false">
      <c r="A24" s="1"/>
      <c r="B24" s="19" t="s">
        <v>61</v>
      </c>
      <c r="C24" s="22" t="n">
        <v>300</v>
      </c>
      <c r="D24" s="22" t="n">
        <v>489</v>
      </c>
      <c r="E24" s="22" t="n">
        <v>750</v>
      </c>
      <c r="F24" s="21" t="s">
        <v>62</v>
      </c>
      <c r="G24" s="1"/>
      <c r="H24" s="1"/>
      <c r="I24" s="1"/>
      <c r="J24" s="1"/>
    </row>
    <row r="25" customFormat="false" ht="18" hidden="false" customHeight="true" outlineLevel="0" collapsed="false">
      <c r="A25" s="1"/>
      <c r="B25" s="19" t="s">
        <v>63</v>
      </c>
      <c r="C25" s="22" t="n">
        <v>1000</v>
      </c>
      <c r="D25" s="22" t="n">
        <v>2500</v>
      </c>
      <c r="E25" s="22" t="n">
        <v>5000</v>
      </c>
      <c r="F25" s="21" t="s">
        <v>64</v>
      </c>
      <c r="G25" s="1"/>
      <c r="H25" s="1"/>
      <c r="I25" s="1"/>
      <c r="J25" s="1"/>
    </row>
    <row r="26" customFormat="false" ht="18" hidden="false" customHeight="true" outlineLevel="0" collapsed="false">
      <c r="A26" s="1"/>
      <c r="B26" s="19" t="s">
        <v>65</v>
      </c>
      <c r="C26" s="22" t="n">
        <v>3000</v>
      </c>
      <c r="D26" s="22" t="n">
        <v>8000</v>
      </c>
      <c r="E26" s="22" t="n">
        <v>20000</v>
      </c>
      <c r="F26" s="21" t="s">
        <v>66</v>
      </c>
      <c r="G26" s="1"/>
      <c r="H26" s="1"/>
      <c r="I26" s="1"/>
      <c r="J26" s="1"/>
    </row>
    <row r="27" customFormat="false" ht="18" hidden="false" customHeight="true" outlineLevel="0" collapsed="false">
      <c r="A27" s="1"/>
      <c r="B27" s="19" t="s">
        <v>67</v>
      </c>
      <c r="C27" s="31" t="n">
        <v>15</v>
      </c>
      <c r="D27" s="31" t="n">
        <v>30</v>
      </c>
      <c r="E27" s="31" t="n">
        <v>60</v>
      </c>
      <c r="F27" s="21" t="s">
        <v>68</v>
      </c>
      <c r="G27" s="1"/>
      <c r="H27" s="1"/>
      <c r="I27" s="1"/>
      <c r="J27" s="1"/>
    </row>
    <row r="28" customFormat="false" ht="15" hidden="false" customHeight="false" outlineLevel="0" collapsed="false">
      <c r="A28" s="1"/>
      <c r="B28" s="1"/>
      <c r="C28" s="1"/>
      <c r="D28" s="1"/>
      <c r="E28" s="1"/>
      <c r="F28" s="1"/>
      <c r="G28" s="1"/>
      <c r="H28" s="1"/>
      <c r="I28" s="1"/>
      <c r="J28" s="1"/>
    </row>
    <row r="29" customFormat="false" ht="15" hidden="false" customHeight="false" outlineLevel="0" collapsed="false">
      <c r="A29" s="1"/>
      <c r="B29" s="18" t="s">
        <v>69</v>
      </c>
      <c r="C29" s="18"/>
      <c r="D29" s="18"/>
      <c r="E29" s="18"/>
      <c r="F29" s="1"/>
      <c r="G29" s="1"/>
      <c r="H29" s="1"/>
      <c r="I29" s="1"/>
      <c r="J29" s="1"/>
    </row>
    <row r="30" customFormat="false" ht="16.5" hidden="false" customHeight="true" outlineLevel="0" collapsed="false">
      <c r="A30" s="1"/>
      <c r="B30" s="19" t="s">
        <v>70</v>
      </c>
      <c r="C30" s="23" t="n">
        <v>50</v>
      </c>
      <c r="D30" s="1"/>
      <c r="E30" s="21" t="s">
        <v>71</v>
      </c>
      <c r="F30" s="1"/>
      <c r="G30" s="1"/>
      <c r="H30" s="1"/>
      <c r="I30" s="1"/>
      <c r="J30" s="1"/>
    </row>
    <row r="31" customFormat="false" ht="16.5" hidden="false" customHeight="true" outlineLevel="0" collapsed="false">
      <c r="A31" s="1"/>
      <c r="B31" s="19" t="s">
        <v>72</v>
      </c>
      <c r="C31" s="32" t="n">
        <v>2499</v>
      </c>
      <c r="D31" s="1"/>
      <c r="E31" s="21" t="s">
        <v>73</v>
      </c>
      <c r="F31" s="1"/>
      <c r="G31" s="1"/>
      <c r="H31" s="1"/>
      <c r="I31" s="1"/>
      <c r="J31" s="1"/>
    </row>
    <row r="32" customFormat="false" ht="16.5" hidden="false" customHeight="true" outlineLevel="0" collapsed="false">
      <c r="A32" s="1"/>
      <c r="B32" s="19" t="s">
        <v>74</v>
      </c>
      <c r="C32" s="28" t="n">
        <v>0.1</v>
      </c>
      <c r="D32" s="1"/>
      <c r="E32" s="21" t="s">
        <v>75</v>
      </c>
      <c r="F32" s="1"/>
      <c r="G32" s="1"/>
      <c r="H32" s="1"/>
      <c r="I32" s="1"/>
      <c r="J32" s="1"/>
    </row>
    <row r="33" customFormat="false" ht="16.5" hidden="false" customHeight="true" outlineLevel="0" collapsed="false">
      <c r="A33" s="1"/>
      <c r="B33" s="19" t="s">
        <v>76</v>
      </c>
      <c r="C33" s="28" t="n">
        <v>0.2</v>
      </c>
      <c r="D33" s="1"/>
      <c r="E33" s="21" t="s">
        <v>77</v>
      </c>
      <c r="F33" s="1"/>
      <c r="G33" s="1"/>
      <c r="H33" s="1"/>
      <c r="I33" s="1"/>
      <c r="J33" s="1"/>
    </row>
    <row r="34" customFormat="false" ht="16.5" hidden="false" customHeight="true" outlineLevel="0" collapsed="false">
      <c r="A34" s="1"/>
      <c r="B34" s="19" t="s">
        <v>78</v>
      </c>
      <c r="C34" s="28" t="n">
        <v>0.35</v>
      </c>
      <c r="D34" s="1"/>
      <c r="E34" s="21" t="s">
        <v>79</v>
      </c>
      <c r="F34" s="1"/>
      <c r="G34" s="1"/>
      <c r="H34" s="1"/>
      <c r="I34" s="1"/>
      <c r="J34" s="1"/>
    </row>
    <row r="35" customFormat="false" ht="16.5" hidden="false" customHeight="true" outlineLevel="0" collapsed="false">
      <c r="A35" s="1"/>
      <c r="B35" s="19" t="s">
        <v>80</v>
      </c>
      <c r="C35" s="33" t="n">
        <v>10000</v>
      </c>
      <c r="D35" s="1"/>
      <c r="E35" s="21" t="s">
        <v>81</v>
      </c>
      <c r="F35" s="1"/>
      <c r="G35" s="1"/>
      <c r="H35" s="1"/>
      <c r="I35" s="1"/>
      <c r="J35" s="1"/>
    </row>
    <row r="36" customFormat="false" ht="15" hidden="false" customHeight="false" outlineLevel="0" collapsed="false">
      <c r="A36" s="1"/>
      <c r="B36" s="1"/>
      <c r="C36" s="1"/>
      <c r="D36" s="1"/>
      <c r="E36" s="1"/>
      <c r="F36" s="1"/>
      <c r="G36" s="1"/>
      <c r="H36" s="1"/>
      <c r="I36" s="1"/>
      <c r="J36" s="1"/>
    </row>
    <row r="37" customFormat="false" ht="15" hidden="false" customHeight="false" outlineLevel="0" collapsed="false">
      <c r="A37" s="1"/>
      <c r="B37" s="1"/>
      <c r="C37" s="1"/>
      <c r="D37" s="1"/>
      <c r="E37" s="1"/>
      <c r="F37" s="1"/>
      <c r="G37" s="1"/>
      <c r="H37" s="1"/>
      <c r="I37" s="1"/>
      <c r="J37" s="1"/>
    </row>
    <row r="38" customFormat="false" ht="15" hidden="false" customHeight="false" outlineLevel="0" collapsed="false">
      <c r="A38" s="1"/>
      <c r="B38" s="1"/>
      <c r="C38" s="1"/>
      <c r="D38" s="1"/>
      <c r="E38" s="1"/>
      <c r="F38" s="1"/>
      <c r="G38" s="1"/>
      <c r="H38" s="1"/>
      <c r="I38" s="1"/>
      <c r="J38" s="1"/>
    </row>
    <row r="39" customFormat="false" ht="15" hidden="false" customHeight="false" outlineLevel="0" collapsed="false">
      <c r="A39" s="1"/>
      <c r="B39" s="1"/>
      <c r="C39" s="1"/>
      <c r="D39" s="1"/>
      <c r="E39" s="1"/>
      <c r="F39" s="1"/>
      <c r="G39" s="1"/>
      <c r="H39" s="1"/>
      <c r="I39" s="1"/>
      <c r="J39" s="1"/>
    </row>
    <row r="40" customFormat="false" ht="15" hidden="false" customHeight="false" outlineLevel="0" collapsed="false">
      <c r="A40" s="1"/>
      <c r="B40" s="1"/>
      <c r="C40" s="1"/>
      <c r="D40" s="1"/>
      <c r="E40" s="1"/>
      <c r="F40" s="1"/>
      <c r="G40" s="1"/>
      <c r="H40" s="1"/>
      <c r="I40" s="1"/>
      <c r="J40" s="1"/>
    </row>
    <row r="41" customFormat="false" ht="15" hidden="false" customHeight="false" outlineLevel="0" collapsed="false">
      <c r="A41" s="1"/>
      <c r="B41" s="1"/>
      <c r="C41" s="1"/>
      <c r="D41" s="1"/>
      <c r="E41" s="1"/>
      <c r="F41" s="1"/>
      <c r="G41" s="1"/>
      <c r="H41" s="1"/>
      <c r="I41" s="1"/>
      <c r="J41" s="1"/>
    </row>
    <row r="42" customFormat="false" ht="15" hidden="false" customHeight="false" outlineLevel="0" collapsed="false">
      <c r="A42" s="1"/>
      <c r="B42" s="1"/>
      <c r="C42" s="1"/>
      <c r="D42" s="1"/>
      <c r="E42" s="1"/>
      <c r="F42" s="1"/>
      <c r="G42" s="1"/>
      <c r="H42" s="1"/>
      <c r="I42" s="1"/>
      <c r="J42" s="1"/>
    </row>
    <row r="43" customFormat="false" ht="15" hidden="false" customHeight="false" outlineLevel="0" collapsed="false">
      <c r="A43" s="1"/>
      <c r="B43" s="1"/>
      <c r="C43" s="1"/>
      <c r="D43" s="1"/>
      <c r="E43" s="1"/>
      <c r="F43" s="1"/>
      <c r="G43" s="1"/>
      <c r="H43" s="1"/>
      <c r="I43" s="1"/>
      <c r="J43" s="1"/>
    </row>
    <row r="44" customFormat="false" ht="15" hidden="false" customHeight="false" outlineLevel="0" collapsed="false">
      <c r="A44" s="1"/>
      <c r="B44" s="1"/>
      <c r="C44" s="1"/>
      <c r="D44" s="1"/>
      <c r="E44" s="1"/>
      <c r="F44" s="1"/>
      <c r="G44" s="1"/>
      <c r="H44" s="1"/>
      <c r="I44" s="1"/>
      <c r="J44" s="1"/>
    </row>
    <row r="45" customFormat="false" ht="15" hidden="false" customHeight="false" outlineLevel="0" collapsed="false">
      <c r="A45" s="1"/>
      <c r="B45" s="1"/>
      <c r="C45" s="1"/>
      <c r="D45" s="1"/>
      <c r="E45" s="1"/>
      <c r="F45" s="1"/>
      <c r="G45" s="1"/>
      <c r="H45" s="1"/>
      <c r="I45" s="1"/>
      <c r="J45" s="1"/>
    </row>
    <row r="46" customFormat="false" ht="15" hidden="false" customHeight="false" outlineLevel="0" collapsed="false">
      <c r="A46" s="1"/>
      <c r="B46" s="1"/>
      <c r="C46" s="1"/>
      <c r="D46" s="1"/>
      <c r="E46" s="1"/>
      <c r="F46" s="1"/>
      <c r="G46" s="1"/>
      <c r="H46" s="1"/>
      <c r="I46" s="1"/>
      <c r="J46" s="1"/>
    </row>
    <row r="47" customFormat="false" ht="15" hidden="false" customHeight="false" outlineLevel="0" collapsed="false">
      <c r="A47" s="1"/>
      <c r="B47" s="1"/>
      <c r="C47" s="1"/>
      <c r="D47" s="1"/>
      <c r="E47" s="1"/>
      <c r="F47" s="1"/>
      <c r="G47" s="1"/>
      <c r="H47" s="1"/>
      <c r="I47" s="1"/>
      <c r="J47" s="1"/>
    </row>
    <row r="48" customFormat="false" ht="15" hidden="false" customHeight="false" outlineLevel="0" collapsed="false">
      <c r="A48" s="1"/>
      <c r="B48" s="1"/>
      <c r="C48" s="1"/>
      <c r="D48" s="1"/>
      <c r="E48" s="1"/>
      <c r="F48" s="1"/>
      <c r="G48" s="1"/>
      <c r="H48" s="1"/>
      <c r="I48" s="1"/>
      <c r="J48" s="1"/>
    </row>
    <row r="49" customFormat="false" ht="15" hidden="false" customHeight="false" outlineLevel="0" collapsed="false">
      <c r="A49" s="1"/>
      <c r="B49" s="1"/>
      <c r="C49" s="1"/>
      <c r="D49" s="1"/>
      <c r="E49" s="1"/>
      <c r="F49" s="1"/>
      <c r="G49" s="1"/>
      <c r="H49" s="1"/>
      <c r="I49" s="1"/>
      <c r="J49" s="1"/>
    </row>
    <row r="50" customFormat="false" ht="15" hidden="false" customHeight="false" outlineLevel="0" collapsed="false">
      <c r="A50" s="1"/>
      <c r="B50" s="1"/>
      <c r="C50" s="1"/>
      <c r="D50" s="1"/>
      <c r="E50" s="1"/>
      <c r="F50" s="1"/>
      <c r="G50" s="1"/>
      <c r="H50" s="1"/>
      <c r="I50" s="1"/>
      <c r="J50" s="1"/>
    </row>
    <row r="51" customFormat="false" ht="15" hidden="false" customHeight="false" outlineLevel="0" collapsed="false">
      <c r="A51" s="1"/>
      <c r="B51" s="1"/>
      <c r="C51" s="1"/>
      <c r="D51" s="1"/>
      <c r="E51" s="1"/>
      <c r="F51" s="1"/>
      <c r="G51" s="1"/>
      <c r="H51" s="1"/>
      <c r="I51" s="1"/>
      <c r="J51" s="1"/>
    </row>
    <row r="52" customFormat="false" ht="15" hidden="false" customHeight="false" outlineLevel="0" collapsed="false">
      <c r="A52" s="1"/>
      <c r="B52" s="1"/>
      <c r="C52" s="1"/>
      <c r="D52" s="1"/>
      <c r="E52" s="1"/>
      <c r="F52" s="1"/>
      <c r="G52" s="1"/>
      <c r="H52" s="1"/>
      <c r="I52" s="1"/>
      <c r="J52" s="1"/>
    </row>
    <row r="53" customFormat="false" ht="15" hidden="false" customHeight="false" outlineLevel="0" collapsed="false">
      <c r="A53" s="1"/>
      <c r="B53" s="1"/>
      <c r="C53" s="1"/>
      <c r="D53" s="1"/>
      <c r="E53" s="1"/>
      <c r="F53" s="1"/>
      <c r="G53" s="1"/>
      <c r="H53" s="1"/>
      <c r="I53" s="1"/>
      <c r="J53" s="1"/>
    </row>
    <row r="54" customFormat="false" ht="15" hidden="false" customHeight="false" outlineLevel="0" collapsed="false">
      <c r="A54" s="1"/>
      <c r="B54" s="1"/>
      <c r="C54" s="1"/>
      <c r="D54" s="1"/>
      <c r="E54" s="1"/>
      <c r="F54" s="1"/>
      <c r="G54" s="1"/>
      <c r="H54" s="1"/>
      <c r="I54" s="1"/>
      <c r="J54" s="1"/>
    </row>
    <row r="55" customFormat="false" ht="15" hidden="false" customHeight="false" outlineLevel="0" collapsed="false">
      <c r="A55" s="1"/>
      <c r="B55" s="1"/>
      <c r="C55" s="1"/>
      <c r="D55" s="1"/>
      <c r="E55" s="1"/>
      <c r="F55" s="1"/>
      <c r="G55" s="1"/>
      <c r="H55" s="1"/>
      <c r="I55" s="1"/>
      <c r="J55" s="1"/>
    </row>
    <row r="56" customFormat="false" ht="15" hidden="false" customHeight="false" outlineLevel="0" collapsed="false">
      <c r="A56" s="1"/>
      <c r="B56" s="1"/>
      <c r="C56" s="1"/>
      <c r="D56" s="1"/>
      <c r="E56" s="1"/>
      <c r="F56" s="1"/>
      <c r="G56" s="1"/>
      <c r="H56" s="1"/>
      <c r="I56" s="1"/>
      <c r="J56" s="1"/>
    </row>
    <row r="57" customFormat="false" ht="15" hidden="false" customHeight="false" outlineLevel="0" collapsed="false">
      <c r="A57" s="1"/>
      <c r="B57" s="1"/>
      <c r="C57" s="1"/>
      <c r="D57" s="1"/>
      <c r="E57" s="1"/>
      <c r="F57" s="1"/>
      <c r="G57" s="1"/>
      <c r="H57" s="1"/>
      <c r="I57" s="1"/>
      <c r="J57" s="1"/>
    </row>
    <row r="58" customFormat="false" ht="15" hidden="false" customHeight="false" outlineLevel="0" collapsed="false">
      <c r="A58" s="1"/>
      <c r="B58" s="1"/>
      <c r="C58" s="1"/>
      <c r="D58" s="1"/>
      <c r="E58" s="1"/>
      <c r="F58" s="1"/>
      <c r="G58" s="1"/>
      <c r="H58" s="1"/>
      <c r="I58" s="1"/>
      <c r="J58" s="1"/>
    </row>
    <row r="59" customFormat="false" ht="15" hidden="false" customHeight="false" outlineLevel="0" collapsed="false">
      <c r="A59" s="1"/>
      <c r="B59" s="1"/>
      <c r="C59" s="1"/>
      <c r="D59" s="1"/>
      <c r="E59" s="1"/>
      <c r="F59" s="1"/>
      <c r="G59" s="1"/>
      <c r="H59" s="1"/>
      <c r="I59" s="1"/>
      <c r="J59" s="1"/>
    </row>
    <row r="60" customFormat="false" ht="15" hidden="false" customHeight="false" outlineLevel="0" collapsed="false">
      <c r="A60" s="1"/>
      <c r="B60" s="1"/>
      <c r="C60" s="1"/>
      <c r="D60" s="1"/>
      <c r="E60" s="1"/>
      <c r="F60" s="1"/>
      <c r="G60" s="1"/>
      <c r="H60" s="1"/>
      <c r="I60" s="1"/>
      <c r="J60" s="1"/>
    </row>
  </sheetData>
  <mergeCells count="5">
    <mergeCell ref="B5:E5"/>
    <mergeCell ref="B13:E13"/>
    <mergeCell ref="B19:E19"/>
    <mergeCell ref="B22:E22"/>
    <mergeCell ref="B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C8A"/>
    <pageSetUpPr fitToPage="false"/>
  </sheetPr>
  <dimension ref="A1:V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4"/>
    <col collapsed="false" customWidth="true" hidden="false" outlineLevel="0" max="4" min="4" style="0" width="16"/>
    <col collapsed="false" customWidth="true" hidden="false" outlineLevel="0" max="22" min="5" style="0" width="12"/>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row>
    <row r="2" customFormat="false" ht="17.35" hidden="false" customHeight="false" outlineLevel="0" collapsed="false">
      <c r="A2" s="1"/>
      <c r="B2" s="34" t="s">
        <v>82</v>
      </c>
      <c r="O2" s="1"/>
      <c r="P2" s="1"/>
      <c r="Q2" s="1"/>
      <c r="R2" s="1"/>
      <c r="S2" s="1"/>
      <c r="T2" s="1"/>
    </row>
    <row r="3" customFormat="false" ht="15" hidden="false" customHeight="false" outlineLevel="0" collapsed="false">
      <c r="A3" s="1"/>
      <c r="B3" s="35" t="s">
        <v>83</v>
      </c>
      <c r="O3" s="1"/>
      <c r="P3" s="1"/>
      <c r="Q3" s="1"/>
      <c r="R3" s="1"/>
      <c r="S3" s="1"/>
      <c r="T3" s="1"/>
    </row>
    <row r="4" customFormat="false" ht="15" hidden="false" customHeight="false" outlineLevel="0" collapsed="false">
      <c r="A4" s="1"/>
      <c r="B4" s="36" t="s">
        <v>84</v>
      </c>
      <c r="O4" s="1"/>
      <c r="P4" s="1"/>
      <c r="Q4" s="1"/>
      <c r="R4" s="1"/>
      <c r="S4" s="1"/>
      <c r="T4" s="1"/>
    </row>
    <row r="5" customFormat="false" ht="15" hidden="false" customHeight="false" outlineLevel="0" collapsed="false">
      <c r="A5" s="1"/>
      <c r="B5" s="1"/>
      <c r="C5" s="1"/>
      <c r="D5" s="1"/>
      <c r="E5" s="1"/>
      <c r="F5" s="1"/>
      <c r="G5" s="1"/>
      <c r="H5" s="1"/>
      <c r="I5" s="1"/>
      <c r="J5" s="1"/>
      <c r="K5" s="1"/>
      <c r="L5" s="1"/>
      <c r="M5" s="1"/>
      <c r="N5" s="1"/>
      <c r="O5" s="1"/>
      <c r="P5" s="1"/>
      <c r="Q5" s="1"/>
      <c r="R5" s="1"/>
      <c r="S5" s="1"/>
      <c r="T5" s="1"/>
    </row>
    <row r="6" customFormat="false" ht="19.5" hidden="false" customHeight="true" outlineLevel="0" collapsed="false">
      <c r="A6" s="1"/>
      <c r="B6" s="37" t="s">
        <v>85</v>
      </c>
      <c r="C6" s="37"/>
      <c r="D6" s="37"/>
      <c r="E6" s="38" t="s">
        <v>86</v>
      </c>
      <c r="F6" s="38"/>
      <c r="G6" s="38"/>
      <c r="H6" s="38"/>
      <c r="I6" s="38"/>
      <c r="J6" s="38"/>
      <c r="K6" s="38" t="s">
        <v>87</v>
      </c>
      <c r="L6" s="38"/>
      <c r="M6" s="38"/>
      <c r="N6" s="38"/>
      <c r="O6" s="38"/>
      <c r="P6" s="38"/>
      <c r="Q6" s="38" t="s">
        <v>88</v>
      </c>
      <c r="R6" s="38"/>
      <c r="S6" s="38"/>
      <c r="T6" s="38"/>
      <c r="U6" s="38"/>
      <c r="V6" s="38"/>
    </row>
    <row r="7" customFormat="false" ht="33.75" hidden="false" customHeight="true" outlineLevel="0" collapsed="false">
      <c r="A7" s="1"/>
      <c r="B7" s="39" t="s">
        <v>89</v>
      </c>
      <c r="C7" s="39" t="s">
        <v>90</v>
      </c>
      <c r="D7" s="39" t="s">
        <v>91</v>
      </c>
      <c r="E7" s="39" t="s">
        <v>92</v>
      </c>
      <c r="F7" s="39" t="s">
        <v>93</v>
      </c>
      <c r="G7" s="39" t="s">
        <v>94</v>
      </c>
      <c r="H7" s="39" t="s">
        <v>95</v>
      </c>
      <c r="I7" s="39" t="s">
        <v>96</v>
      </c>
      <c r="J7" s="39" t="s">
        <v>97</v>
      </c>
      <c r="K7" s="39" t="s">
        <v>92</v>
      </c>
      <c r="L7" s="39" t="s">
        <v>93</v>
      </c>
      <c r="M7" s="39" t="s">
        <v>94</v>
      </c>
      <c r="N7" s="39" t="s">
        <v>95</v>
      </c>
      <c r="O7" s="39" t="s">
        <v>96</v>
      </c>
      <c r="P7" s="39" t="s">
        <v>97</v>
      </c>
      <c r="Q7" s="39" t="s">
        <v>92</v>
      </c>
      <c r="R7" s="39" t="s">
        <v>93</v>
      </c>
      <c r="S7" s="39" t="s">
        <v>94</v>
      </c>
      <c r="T7" s="39" t="s">
        <v>95</v>
      </c>
      <c r="U7" s="39" t="s">
        <v>96</v>
      </c>
      <c r="V7" s="39" t="s">
        <v>97</v>
      </c>
    </row>
    <row r="8" customFormat="false" ht="15.75" hidden="false" customHeight="true" outlineLevel="0" collapsed="false">
      <c r="A8" s="1"/>
      <c r="B8" s="1"/>
      <c r="C8" s="1"/>
      <c r="D8" s="1"/>
      <c r="E8" s="40" t="s">
        <v>98</v>
      </c>
      <c r="F8" s="40" t="s">
        <v>99</v>
      </c>
      <c r="G8" s="40" t="s">
        <v>100</v>
      </c>
      <c r="H8" s="40" t="s">
        <v>98</v>
      </c>
      <c r="I8" s="40" t="s">
        <v>99</v>
      </c>
      <c r="J8" s="40" t="s">
        <v>100</v>
      </c>
      <c r="K8" s="40" t="s">
        <v>98</v>
      </c>
      <c r="L8" s="40" t="s">
        <v>99</v>
      </c>
      <c r="M8" s="40" t="s">
        <v>100</v>
      </c>
      <c r="N8" s="1"/>
      <c r="O8" s="1"/>
      <c r="P8" s="1"/>
      <c r="Q8" s="1"/>
      <c r="R8" s="1"/>
      <c r="S8" s="1"/>
      <c r="T8" s="1"/>
      <c r="U8" s="1"/>
      <c r="V8" s="1"/>
    </row>
    <row r="9" customFormat="false" ht="19.5" hidden="false" customHeight="true" outlineLevel="0" collapsed="false">
      <c r="A9" s="1"/>
      <c r="B9" s="41" t="n">
        <v>1</v>
      </c>
      <c r="C9" s="42" t="n">
        <f aca="false">B9/(Assumptions!C7*100)</f>
        <v>0.00285714285714286</v>
      </c>
      <c r="D9" s="42" t="n">
        <f aca="false">C9*(1-Assumptions!C17)*(1-Assumptions!C20)</f>
        <v>0.00176</v>
      </c>
      <c r="E9" s="43" t="n">
        <f aca="false">D9*Assumptions!C24</f>
        <v>0.528</v>
      </c>
      <c r="F9" s="44" t="n">
        <f aca="false">IF(B9=0,0,E9/(B9/100))</f>
        <v>52.8</v>
      </c>
      <c r="G9" s="45" t="n">
        <f aca="false">D9*Assumptions!D24</f>
        <v>0.86064</v>
      </c>
      <c r="H9" s="46" t="n">
        <f aca="false">IF(B9=0,0,G9/(B9/100))</f>
        <v>86.064</v>
      </c>
      <c r="I9" s="47" t="n">
        <f aca="false">D9*Assumptions!E24</f>
        <v>1.32</v>
      </c>
      <c r="J9" s="48" t="n">
        <f aca="false">IF(B9=0,0,I9/(B9/100))</f>
        <v>132</v>
      </c>
      <c r="K9" s="43" t="n">
        <f aca="false">D9*Assumptions!C25</f>
        <v>1.76</v>
      </c>
      <c r="L9" s="44" t="n">
        <f aca="false">IF(B9=0,0,K9/(B9/100))</f>
        <v>176</v>
      </c>
      <c r="M9" s="45" t="n">
        <f aca="false">D9*Assumptions!D25</f>
        <v>4.4</v>
      </c>
      <c r="N9" s="46" t="n">
        <f aca="false">IF(B9=0,0,M9/(B9/100))</f>
        <v>440</v>
      </c>
      <c r="O9" s="47" t="n">
        <f aca="false">D9*Assumptions!E25</f>
        <v>8.8</v>
      </c>
      <c r="P9" s="48" t="n">
        <f aca="false">IF(B9=0,0,O9/(B9/100))</f>
        <v>880</v>
      </c>
      <c r="Q9" s="43" t="n">
        <f aca="false">D9*Assumptions!C26</f>
        <v>5.28</v>
      </c>
      <c r="R9" s="44" t="n">
        <f aca="false">IF(B9=0,0,Q9/(B9/100))</f>
        <v>528</v>
      </c>
      <c r="S9" s="45" t="n">
        <f aca="false">D9*Assumptions!D26</f>
        <v>14.08</v>
      </c>
      <c r="T9" s="46" t="n">
        <f aca="false">IF(B9=0,0,S9/(B9/100))</f>
        <v>1408</v>
      </c>
      <c r="U9" s="47" t="n">
        <f aca="false">D9*Assumptions!E26</f>
        <v>35.2</v>
      </c>
      <c r="V9" s="48" t="n">
        <f aca="false">IF(B9=0,0,U9/(B9/100))</f>
        <v>3520</v>
      </c>
    </row>
    <row r="10" customFormat="false" ht="19.5" hidden="false" customHeight="true" outlineLevel="0" collapsed="false">
      <c r="A10" s="1"/>
      <c r="B10" s="49" t="n">
        <v>2</v>
      </c>
      <c r="C10" s="50" t="n">
        <f aca="false">B10/(Assumptions!C7*100)</f>
        <v>0.00571428571428571</v>
      </c>
      <c r="D10" s="50" t="n">
        <f aca="false">C10*(1-Assumptions!C17)*(1-Assumptions!C20)</f>
        <v>0.00352</v>
      </c>
      <c r="E10" s="51" t="n">
        <f aca="false">D10*Assumptions!C24</f>
        <v>1.056</v>
      </c>
      <c r="F10" s="52" t="n">
        <f aca="false">IF(B10=0,0,E10/(B10/100))</f>
        <v>52.8</v>
      </c>
      <c r="G10" s="53" t="n">
        <f aca="false">D10*Assumptions!D24</f>
        <v>1.72128</v>
      </c>
      <c r="H10" s="54" t="n">
        <f aca="false">IF(B10=0,0,G10/(B10/100))</f>
        <v>86.064</v>
      </c>
      <c r="I10" s="55" t="n">
        <f aca="false">D10*Assumptions!E24</f>
        <v>2.64</v>
      </c>
      <c r="J10" s="56" t="n">
        <f aca="false">IF(B10=0,0,I10/(B10/100))</f>
        <v>132</v>
      </c>
      <c r="K10" s="51" t="n">
        <f aca="false">D10*Assumptions!C25</f>
        <v>3.52</v>
      </c>
      <c r="L10" s="52" t="n">
        <f aca="false">IF(B10=0,0,K10/(B10/100))</f>
        <v>176</v>
      </c>
      <c r="M10" s="53" t="n">
        <f aca="false">D10*Assumptions!D25</f>
        <v>8.8</v>
      </c>
      <c r="N10" s="54" t="n">
        <f aca="false">IF(B10=0,0,M10/(B10/100))</f>
        <v>440</v>
      </c>
      <c r="O10" s="55" t="n">
        <f aca="false">D10*Assumptions!E25</f>
        <v>17.6</v>
      </c>
      <c r="P10" s="56" t="n">
        <f aca="false">IF(B10=0,0,O10/(B10/100))</f>
        <v>880</v>
      </c>
      <c r="Q10" s="51" t="n">
        <f aca="false">D10*Assumptions!C26</f>
        <v>10.56</v>
      </c>
      <c r="R10" s="52" t="n">
        <f aca="false">IF(B10=0,0,Q10/(B10/100))</f>
        <v>528</v>
      </c>
      <c r="S10" s="53" t="n">
        <f aca="false">D10*Assumptions!D26</f>
        <v>28.16</v>
      </c>
      <c r="T10" s="54" t="n">
        <f aca="false">IF(B10=0,0,S10/(B10/100))</f>
        <v>1408</v>
      </c>
      <c r="U10" s="55" t="n">
        <f aca="false">D10*Assumptions!E26</f>
        <v>70.4</v>
      </c>
      <c r="V10" s="56" t="n">
        <f aca="false">IF(B10=0,0,U10/(B10/100))</f>
        <v>3520</v>
      </c>
    </row>
    <row r="11" customFormat="false" ht="19.5" hidden="false" customHeight="true" outlineLevel="0" collapsed="false">
      <c r="A11" s="1"/>
      <c r="B11" s="41" t="n">
        <v>5</v>
      </c>
      <c r="C11" s="42" t="n">
        <f aca="false">B11/(Assumptions!C7*100)</f>
        <v>0.0142857142857143</v>
      </c>
      <c r="D11" s="42" t="n">
        <f aca="false">C11*(1-Assumptions!C17)*(1-Assumptions!C20)</f>
        <v>0.0088</v>
      </c>
      <c r="E11" s="43" t="n">
        <f aca="false">D11*Assumptions!C24</f>
        <v>2.64</v>
      </c>
      <c r="F11" s="44" t="n">
        <f aca="false">IF(B11=0,0,E11/(B11/100))</f>
        <v>52.8</v>
      </c>
      <c r="G11" s="45" t="n">
        <f aca="false">D11*Assumptions!D24</f>
        <v>4.3032</v>
      </c>
      <c r="H11" s="46" t="n">
        <f aca="false">IF(B11=0,0,G11/(B11/100))</f>
        <v>86.064</v>
      </c>
      <c r="I11" s="47" t="n">
        <f aca="false">D11*Assumptions!E24</f>
        <v>6.6</v>
      </c>
      <c r="J11" s="48" t="n">
        <f aca="false">IF(B11=0,0,I11/(B11/100))</f>
        <v>132</v>
      </c>
      <c r="K11" s="43" t="n">
        <f aca="false">D11*Assumptions!C25</f>
        <v>8.8</v>
      </c>
      <c r="L11" s="44" t="n">
        <f aca="false">IF(B11=0,0,K11/(B11/100))</f>
        <v>176</v>
      </c>
      <c r="M11" s="45" t="n">
        <f aca="false">D11*Assumptions!D25</f>
        <v>22</v>
      </c>
      <c r="N11" s="46" t="n">
        <f aca="false">IF(B11=0,0,M11/(B11/100))</f>
        <v>440</v>
      </c>
      <c r="O11" s="47" t="n">
        <f aca="false">D11*Assumptions!E25</f>
        <v>44</v>
      </c>
      <c r="P11" s="48" t="n">
        <f aca="false">IF(B11=0,0,O11/(B11/100))</f>
        <v>880</v>
      </c>
      <c r="Q11" s="43" t="n">
        <f aca="false">D11*Assumptions!C26</f>
        <v>26.4</v>
      </c>
      <c r="R11" s="44" t="n">
        <f aca="false">IF(B11=0,0,Q11/(B11/100))</f>
        <v>528</v>
      </c>
      <c r="S11" s="45" t="n">
        <f aca="false">D11*Assumptions!D26</f>
        <v>70.4</v>
      </c>
      <c r="T11" s="46" t="n">
        <f aca="false">IF(B11=0,0,S11/(B11/100))</f>
        <v>1408</v>
      </c>
      <c r="U11" s="47" t="n">
        <f aca="false">D11*Assumptions!E26</f>
        <v>176</v>
      </c>
      <c r="V11" s="48" t="n">
        <f aca="false">IF(B11=0,0,U11/(B11/100))</f>
        <v>3520</v>
      </c>
    </row>
    <row r="12" customFormat="false" ht="19.5" hidden="false" customHeight="true" outlineLevel="0" collapsed="false">
      <c r="A12" s="1"/>
      <c r="B12" s="49" t="n">
        <v>10</v>
      </c>
      <c r="C12" s="50" t="n">
        <f aca="false">B12/(Assumptions!C7*100)</f>
        <v>0.0285714285714286</v>
      </c>
      <c r="D12" s="50" t="n">
        <f aca="false">C12*(1-Assumptions!C17)*(1-Assumptions!C20)</f>
        <v>0.0176</v>
      </c>
      <c r="E12" s="51" t="n">
        <f aca="false">D12*Assumptions!C24</f>
        <v>5.28</v>
      </c>
      <c r="F12" s="52" t="n">
        <f aca="false">IF(B12=0,0,E12/(B12/100))</f>
        <v>52.8</v>
      </c>
      <c r="G12" s="53" t="n">
        <f aca="false">D12*Assumptions!D24</f>
        <v>8.6064</v>
      </c>
      <c r="H12" s="54" t="n">
        <f aca="false">IF(B12=0,0,G12/(B12/100))</f>
        <v>86.064</v>
      </c>
      <c r="I12" s="55" t="n">
        <f aca="false">D12*Assumptions!E24</f>
        <v>13.2</v>
      </c>
      <c r="J12" s="56" t="n">
        <f aca="false">IF(B12=0,0,I12/(B12/100))</f>
        <v>132</v>
      </c>
      <c r="K12" s="51" t="n">
        <f aca="false">D12*Assumptions!C25</f>
        <v>17.6</v>
      </c>
      <c r="L12" s="52" t="n">
        <f aca="false">IF(B12=0,0,K12/(B12/100))</f>
        <v>176</v>
      </c>
      <c r="M12" s="53" t="n">
        <f aca="false">D12*Assumptions!D25</f>
        <v>44</v>
      </c>
      <c r="N12" s="54" t="n">
        <f aca="false">IF(B12=0,0,M12/(B12/100))</f>
        <v>440</v>
      </c>
      <c r="O12" s="55" t="n">
        <f aca="false">D12*Assumptions!E25</f>
        <v>88</v>
      </c>
      <c r="P12" s="56" t="n">
        <f aca="false">IF(B12=0,0,O12/(B12/100))</f>
        <v>880</v>
      </c>
      <c r="Q12" s="51" t="n">
        <f aca="false">D12*Assumptions!C26</f>
        <v>52.8</v>
      </c>
      <c r="R12" s="52" t="n">
        <f aca="false">IF(B12=0,0,Q12/(B12/100))</f>
        <v>528</v>
      </c>
      <c r="S12" s="53" t="n">
        <f aca="false">D12*Assumptions!D26</f>
        <v>140.8</v>
      </c>
      <c r="T12" s="54" t="n">
        <f aca="false">IF(B12=0,0,S12/(B12/100))</f>
        <v>1408</v>
      </c>
      <c r="U12" s="55" t="n">
        <f aca="false">D12*Assumptions!E26</f>
        <v>352</v>
      </c>
      <c r="V12" s="56" t="n">
        <f aca="false">IF(B12=0,0,U12/(B12/100))</f>
        <v>3520</v>
      </c>
    </row>
    <row r="13" customFormat="false" ht="19.5" hidden="false" customHeight="true" outlineLevel="0" collapsed="false">
      <c r="A13" s="1"/>
      <c r="B13" s="41" t="n">
        <v>25</v>
      </c>
      <c r="C13" s="42" t="n">
        <f aca="false">B13/(Assumptions!C7*100)</f>
        <v>0.0714285714285714</v>
      </c>
      <c r="D13" s="42" t="n">
        <f aca="false">C13*(1-Assumptions!C17)*(1-Assumptions!C20)</f>
        <v>0.044</v>
      </c>
      <c r="E13" s="43" t="n">
        <f aca="false">D13*Assumptions!C24</f>
        <v>13.2</v>
      </c>
      <c r="F13" s="44" t="n">
        <f aca="false">IF(B13=0,0,E13/(B13/100))</f>
        <v>52.8</v>
      </c>
      <c r="G13" s="45" t="n">
        <f aca="false">D13*Assumptions!D24</f>
        <v>21.516</v>
      </c>
      <c r="H13" s="46" t="n">
        <f aca="false">IF(B13=0,0,G13/(B13/100))</f>
        <v>86.064</v>
      </c>
      <c r="I13" s="47" t="n">
        <f aca="false">D13*Assumptions!E24</f>
        <v>33</v>
      </c>
      <c r="J13" s="48" t="n">
        <f aca="false">IF(B13=0,0,I13/(B13/100))</f>
        <v>132</v>
      </c>
      <c r="K13" s="43" t="n">
        <f aca="false">D13*Assumptions!C25</f>
        <v>44</v>
      </c>
      <c r="L13" s="44" t="n">
        <f aca="false">IF(B13=0,0,K13/(B13/100))</f>
        <v>176</v>
      </c>
      <c r="M13" s="45" t="n">
        <f aca="false">D13*Assumptions!D25</f>
        <v>110</v>
      </c>
      <c r="N13" s="46" t="n">
        <f aca="false">IF(B13=0,0,M13/(B13/100))</f>
        <v>440</v>
      </c>
      <c r="O13" s="47" t="n">
        <f aca="false">D13*Assumptions!E25</f>
        <v>220</v>
      </c>
      <c r="P13" s="48" t="n">
        <f aca="false">IF(B13=0,0,O13/(B13/100))</f>
        <v>880</v>
      </c>
      <c r="Q13" s="43" t="n">
        <f aca="false">D13*Assumptions!C26</f>
        <v>132</v>
      </c>
      <c r="R13" s="44" t="n">
        <f aca="false">IF(B13=0,0,Q13/(B13/100))</f>
        <v>528</v>
      </c>
      <c r="S13" s="45" t="n">
        <f aca="false">D13*Assumptions!D26</f>
        <v>352</v>
      </c>
      <c r="T13" s="46" t="n">
        <f aca="false">IF(B13=0,0,S13/(B13/100))</f>
        <v>1408</v>
      </c>
      <c r="U13" s="47" t="n">
        <f aca="false">D13*Assumptions!E26</f>
        <v>880</v>
      </c>
      <c r="V13" s="48" t="n">
        <f aca="false">IF(B13=0,0,U13/(B13/100))</f>
        <v>3520</v>
      </c>
    </row>
    <row r="14" customFormat="false" ht="19.5" hidden="false" customHeight="true" outlineLevel="0" collapsed="false">
      <c r="A14" s="1"/>
      <c r="B14" s="49" t="n">
        <v>35</v>
      </c>
      <c r="C14" s="50" t="n">
        <f aca="false">B14/(Assumptions!C7*100)</f>
        <v>0.1</v>
      </c>
      <c r="D14" s="50" t="n">
        <f aca="false">C14*(1-Assumptions!C17)*(1-Assumptions!C20)</f>
        <v>0.0616</v>
      </c>
      <c r="E14" s="51" t="n">
        <f aca="false">D14*Assumptions!C24</f>
        <v>18.48</v>
      </c>
      <c r="F14" s="52" t="n">
        <f aca="false">IF(B14=0,0,E14/(B14/100))</f>
        <v>52.8</v>
      </c>
      <c r="G14" s="53" t="n">
        <f aca="false">D14*Assumptions!D24</f>
        <v>30.1224</v>
      </c>
      <c r="H14" s="54" t="n">
        <f aca="false">IF(B14=0,0,G14/(B14/100))</f>
        <v>86.064</v>
      </c>
      <c r="I14" s="55" t="n">
        <f aca="false">D14*Assumptions!E24</f>
        <v>46.2</v>
      </c>
      <c r="J14" s="56" t="n">
        <f aca="false">IF(B14=0,0,I14/(B14/100))</f>
        <v>132</v>
      </c>
      <c r="K14" s="51" t="n">
        <f aca="false">D14*Assumptions!C25</f>
        <v>61.6</v>
      </c>
      <c r="L14" s="52" t="n">
        <f aca="false">IF(B14=0,0,K14/(B14/100))</f>
        <v>176</v>
      </c>
      <c r="M14" s="53" t="n">
        <f aca="false">D14*Assumptions!D25</f>
        <v>154</v>
      </c>
      <c r="N14" s="54" t="n">
        <f aca="false">IF(B14=0,0,M14/(B14/100))</f>
        <v>440</v>
      </c>
      <c r="O14" s="55" t="n">
        <f aca="false">D14*Assumptions!E25</f>
        <v>308</v>
      </c>
      <c r="P14" s="56" t="n">
        <f aca="false">IF(B14=0,0,O14/(B14/100))</f>
        <v>880</v>
      </c>
      <c r="Q14" s="51" t="n">
        <f aca="false">D14*Assumptions!C26</f>
        <v>184.8</v>
      </c>
      <c r="R14" s="52" t="n">
        <f aca="false">IF(B14=0,0,Q14/(B14/100))</f>
        <v>528</v>
      </c>
      <c r="S14" s="53" t="n">
        <f aca="false">D14*Assumptions!D26</f>
        <v>492.8</v>
      </c>
      <c r="T14" s="54" t="n">
        <f aca="false">IF(B14=0,0,S14/(B14/100))</f>
        <v>1408</v>
      </c>
      <c r="U14" s="55" t="n">
        <f aca="false">D14*Assumptions!E26</f>
        <v>1232</v>
      </c>
      <c r="V14" s="56" t="n">
        <f aca="false">IF(B14=0,0,U14/(B14/100))</f>
        <v>3520</v>
      </c>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row>
    <row r="16" customFormat="false" ht="30" hidden="false" customHeight="true" outlineLevel="0" collapsed="false">
      <c r="A16" s="1"/>
      <c r="B16" s="57" t="s">
        <v>101</v>
      </c>
      <c r="C16" s="57"/>
      <c r="D16" s="57"/>
      <c r="E16" s="57"/>
      <c r="F16" s="57"/>
      <c r="G16" s="57"/>
      <c r="H16" s="57"/>
      <c r="I16" s="57"/>
      <c r="J16" s="57"/>
      <c r="K16" s="57"/>
      <c r="L16" s="57"/>
      <c r="M16" s="57"/>
      <c r="N16" s="57"/>
      <c r="O16" s="57"/>
      <c r="P16" s="57"/>
      <c r="Q16" s="57"/>
      <c r="R16" s="57"/>
      <c r="S16" s="57"/>
      <c r="T16" s="57"/>
      <c r="U16" s="57"/>
      <c r="V16" s="57"/>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row>
    <row r="21" customFormat="false" ht="15" hidden="false" customHeight="false" outlineLevel="0" collapsed="false">
      <c r="A21" s="1"/>
      <c r="B21" s="1"/>
      <c r="C21" s="1"/>
      <c r="D21" s="1"/>
      <c r="E21" s="1"/>
      <c r="F21" s="1"/>
      <c r="G21" s="1"/>
      <c r="H21" s="1"/>
      <c r="I21" s="1"/>
      <c r="J21" s="1"/>
      <c r="K21" s="1"/>
      <c r="L21" s="1"/>
      <c r="M21" s="1"/>
      <c r="N21" s="1"/>
      <c r="O21" s="1"/>
      <c r="P21" s="1"/>
      <c r="Q21" s="1"/>
      <c r="R21" s="1"/>
      <c r="S21" s="1"/>
      <c r="T21" s="1"/>
    </row>
    <row r="22" customFormat="false" ht="15" hidden="false" customHeight="false" outlineLevel="0" collapsed="false">
      <c r="A22" s="1"/>
      <c r="B22" s="1"/>
      <c r="C22" s="1"/>
      <c r="D22" s="1"/>
      <c r="E22" s="1"/>
      <c r="F22" s="1"/>
      <c r="G22" s="1"/>
      <c r="H22" s="1"/>
      <c r="I22" s="1"/>
      <c r="J22" s="1"/>
      <c r="K22" s="1"/>
      <c r="L22" s="1"/>
      <c r="M22" s="1"/>
      <c r="N22" s="1"/>
      <c r="O22" s="1"/>
      <c r="P22" s="1"/>
      <c r="Q22" s="1"/>
      <c r="R22" s="1"/>
      <c r="S22" s="1"/>
      <c r="T22" s="1"/>
    </row>
    <row r="23" customFormat="false" ht="15" hidden="false" customHeight="false" outlineLevel="0" collapsed="false">
      <c r="A23" s="1"/>
      <c r="B23" s="1"/>
      <c r="C23" s="1"/>
      <c r="D23" s="1"/>
      <c r="E23" s="1"/>
      <c r="F23" s="1"/>
      <c r="G23" s="1"/>
      <c r="H23" s="1"/>
      <c r="I23" s="1"/>
      <c r="J23" s="1"/>
      <c r="K23" s="1"/>
      <c r="L23" s="1"/>
      <c r="M23" s="1"/>
      <c r="N23" s="1"/>
      <c r="O23" s="1"/>
      <c r="P23" s="1"/>
      <c r="Q23" s="1"/>
      <c r="R23" s="1"/>
      <c r="S23" s="1"/>
      <c r="T23" s="1"/>
    </row>
    <row r="24" customFormat="false" ht="15" hidden="false" customHeight="false" outlineLevel="0" collapsed="false">
      <c r="A24" s="1"/>
      <c r="B24" s="1"/>
      <c r="C24" s="1"/>
      <c r="D24" s="1"/>
      <c r="E24" s="1"/>
      <c r="F24" s="1"/>
      <c r="G24" s="1"/>
      <c r="H24" s="1"/>
      <c r="I24" s="1"/>
      <c r="J24" s="1"/>
      <c r="K24" s="1"/>
      <c r="L24" s="1"/>
      <c r="M24" s="1"/>
      <c r="N24" s="1"/>
      <c r="O24" s="1"/>
      <c r="P24" s="1"/>
      <c r="Q24" s="1"/>
      <c r="R24" s="1"/>
      <c r="S24" s="1"/>
      <c r="T24" s="1"/>
    </row>
    <row r="25" customFormat="false" ht="15" hidden="false" customHeight="false" outlineLevel="0" collapsed="false">
      <c r="A25" s="1"/>
      <c r="B25" s="1"/>
      <c r="C25" s="1"/>
      <c r="D25" s="1"/>
      <c r="E25" s="1"/>
      <c r="F25" s="1"/>
      <c r="G25" s="1"/>
      <c r="H25" s="1"/>
      <c r="I25" s="1"/>
      <c r="J25" s="1"/>
      <c r="K25" s="1"/>
      <c r="L25" s="1"/>
      <c r="M25" s="1"/>
      <c r="N25" s="1"/>
      <c r="O25" s="1"/>
      <c r="P25" s="1"/>
      <c r="Q25" s="1"/>
      <c r="R25" s="1"/>
      <c r="S25" s="1"/>
      <c r="T25" s="1"/>
    </row>
    <row r="26" customFormat="false" ht="15" hidden="false" customHeight="false" outlineLevel="0" collapsed="false">
      <c r="A26" s="1"/>
      <c r="B26" s="1"/>
      <c r="C26" s="1"/>
      <c r="D26" s="1"/>
      <c r="E26" s="1"/>
      <c r="F26" s="1"/>
      <c r="G26" s="1"/>
      <c r="H26" s="1"/>
      <c r="I26" s="1"/>
      <c r="J26" s="1"/>
      <c r="K26" s="1"/>
      <c r="L26" s="1"/>
      <c r="M26" s="1"/>
      <c r="N26" s="1"/>
      <c r="O26" s="1"/>
      <c r="P26" s="1"/>
      <c r="Q26" s="1"/>
      <c r="R26" s="1"/>
      <c r="S26" s="1"/>
      <c r="T26" s="1"/>
    </row>
    <row r="27" customFormat="false" ht="15" hidden="false" customHeight="false" outlineLevel="0" collapsed="false">
      <c r="A27" s="1"/>
      <c r="B27" s="1"/>
      <c r="C27" s="1"/>
      <c r="D27" s="1"/>
      <c r="E27" s="1"/>
      <c r="F27" s="1"/>
      <c r="G27" s="1"/>
      <c r="H27" s="1"/>
      <c r="I27" s="1"/>
      <c r="J27" s="1"/>
      <c r="K27" s="1"/>
      <c r="L27" s="1"/>
      <c r="M27" s="1"/>
      <c r="N27" s="1"/>
      <c r="O27" s="1"/>
      <c r="P27" s="1"/>
      <c r="Q27" s="1"/>
      <c r="R27" s="1"/>
      <c r="S27" s="1"/>
      <c r="T27" s="1"/>
    </row>
    <row r="28" customFormat="false" ht="15" hidden="false" customHeight="false" outlineLevel="0" collapsed="false">
      <c r="A28" s="1"/>
      <c r="B28" s="1"/>
      <c r="C28" s="1"/>
      <c r="D28" s="1"/>
      <c r="E28" s="1"/>
      <c r="F28" s="1"/>
      <c r="G28" s="1"/>
      <c r="H28" s="1"/>
      <c r="I28" s="1"/>
      <c r="J28" s="1"/>
      <c r="K28" s="1"/>
      <c r="L28" s="1"/>
      <c r="M28" s="1"/>
      <c r="N28" s="1"/>
      <c r="O28" s="1"/>
      <c r="P28" s="1"/>
      <c r="Q28" s="1"/>
      <c r="R28" s="1"/>
      <c r="S28" s="1"/>
      <c r="T28" s="1"/>
    </row>
    <row r="29" customFormat="false" ht="15" hidden="false" customHeight="false" outlineLevel="0" collapsed="false">
      <c r="A29" s="1"/>
      <c r="B29" s="1"/>
      <c r="C29" s="1"/>
      <c r="D29" s="1"/>
      <c r="E29" s="1"/>
      <c r="F29" s="1"/>
      <c r="G29" s="1"/>
      <c r="H29" s="1"/>
      <c r="I29" s="1"/>
      <c r="J29" s="1"/>
      <c r="K29" s="1"/>
      <c r="L29" s="1"/>
      <c r="M29" s="1"/>
      <c r="N29" s="1"/>
      <c r="O29" s="1"/>
      <c r="P29" s="1"/>
      <c r="Q29" s="1"/>
      <c r="R29" s="1"/>
      <c r="S29" s="1"/>
      <c r="T29" s="1"/>
    </row>
    <row r="30" customFormat="false" ht="15" hidden="false" customHeight="false" outlineLevel="0" collapsed="false">
      <c r="A30" s="1"/>
      <c r="B30" s="1"/>
      <c r="C30" s="1"/>
      <c r="D30" s="1"/>
      <c r="E30" s="1"/>
      <c r="F30" s="1"/>
      <c r="G30" s="1"/>
      <c r="H30" s="1"/>
      <c r="I30" s="1"/>
      <c r="J30" s="1"/>
      <c r="K30" s="1"/>
      <c r="L30" s="1"/>
      <c r="M30" s="1"/>
      <c r="N30" s="1"/>
      <c r="O30" s="1"/>
      <c r="P30" s="1"/>
      <c r="Q30" s="1"/>
      <c r="R30" s="1"/>
      <c r="S30" s="1"/>
      <c r="T30" s="1"/>
    </row>
    <row r="31" customFormat="false" ht="15" hidden="false" customHeight="false" outlineLevel="0" collapsed="false">
      <c r="A31" s="1"/>
      <c r="B31" s="1"/>
      <c r="C31" s="1"/>
      <c r="D31" s="1"/>
      <c r="E31" s="1"/>
      <c r="F31" s="1"/>
      <c r="G31" s="1"/>
      <c r="H31" s="1"/>
      <c r="I31" s="1"/>
      <c r="J31" s="1"/>
      <c r="K31" s="1"/>
      <c r="L31" s="1"/>
      <c r="M31" s="1"/>
      <c r="N31" s="1"/>
      <c r="O31" s="1"/>
      <c r="P31" s="1"/>
      <c r="Q31" s="1"/>
      <c r="R31" s="1"/>
      <c r="S31" s="1"/>
      <c r="T31" s="1"/>
    </row>
    <row r="32" customFormat="false" ht="15" hidden="false" customHeight="false" outlineLevel="0" collapsed="false">
      <c r="A32" s="1"/>
      <c r="B32" s="1"/>
      <c r="C32" s="1"/>
      <c r="D32" s="1"/>
      <c r="E32" s="1"/>
      <c r="F32" s="1"/>
      <c r="G32" s="1"/>
      <c r="H32" s="1"/>
      <c r="I32" s="1"/>
      <c r="J32" s="1"/>
      <c r="K32" s="1"/>
      <c r="L32" s="1"/>
      <c r="M32" s="1"/>
      <c r="N32" s="1"/>
      <c r="O32" s="1"/>
      <c r="P32" s="1"/>
      <c r="Q32" s="1"/>
      <c r="R32" s="1"/>
      <c r="S32" s="1"/>
      <c r="T32" s="1"/>
    </row>
    <row r="33" customFormat="false" ht="15" hidden="false" customHeight="false" outlineLevel="0" collapsed="false">
      <c r="A33" s="1"/>
      <c r="B33" s="1"/>
      <c r="C33" s="1"/>
      <c r="D33" s="1"/>
      <c r="E33" s="1"/>
      <c r="F33" s="1"/>
      <c r="G33" s="1"/>
      <c r="H33" s="1"/>
      <c r="I33" s="1"/>
      <c r="J33" s="1"/>
      <c r="K33" s="1"/>
      <c r="L33" s="1"/>
      <c r="M33" s="1"/>
      <c r="N33" s="1"/>
      <c r="O33" s="1"/>
      <c r="P33" s="1"/>
      <c r="Q33" s="1"/>
      <c r="R33" s="1"/>
      <c r="S33" s="1"/>
      <c r="T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c r="S34" s="1"/>
      <c r="T34" s="1"/>
    </row>
    <row r="35" customFormat="false" ht="15" hidden="false" customHeight="false" outlineLevel="0" collapsed="false">
      <c r="A35" s="1"/>
      <c r="B35" s="1"/>
      <c r="C35" s="1"/>
      <c r="D35" s="1"/>
      <c r="E35" s="1"/>
      <c r="F35" s="1"/>
      <c r="G35" s="1"/>
      <c r="H35" s="1"/>
      <c r="I35" s="1"/>
      <c r="J35" s="1"/>
      <c r="K35" s="1"/>
      <c r="L35" s="1"/>
      <c r="M35" s="1"/>
      <c r="N35" s="1"/>
      <c r="O35" s="1"/>
      <c r="P35" s="1"/>
      <c r="Q35" s="1"/>
      <c r="R35" s="1"/>
      <c r="S35" s="1"/>
      <c r="T35" s="1"/>
    </row>
    <row r="36" customFormat="false" ht="15" hidden="false" customHeight="false" outlineLevel="0" collapsed="false">
      <c r="A36" s="1"/>
      <c r="B36" s="1"/>
      <c r="C36" s="1"/>
      <c r="D36" s="1"/>
      <c r="E36" s="1"/>
      <c r="F36" s="1"/>
      <c r="G36" s="1"/>
      <c r="H36" s="1"/>
      <c r="I36" s="1"/>
      <c r="J36" s="1"/>
      <c r="K36" s="1"/>
      <c r="L36" s="1"/>
      <c r="M36" s="1"/>
      <c r="N36" s="1"/>
      <c r="O36" s="1"/>
      <c r="P36" s="1"/>
      <c r="Q36" s="1"/>
      <c r="R36" s="1"/>
      <c r="S36" s="1"/>
      <c r="T36" s="1"/>
    </row>
    <row r="37" customFormat="false" ht="15" hidden="false" customHeight="false" outlineLevel="0" collapsed="false">
      <c r="A37" s="1"/>
      <c r="B37" s="1"/>
      <c r="C37" s="1"/>
      <c r="D37" s="1"/>
      <c r="E37" s="1"/>
      <c r="F37" s="1"/>
      <c r="G37" s="1"/>
      <c r="H37" s="1"/>
      <c r="I37" s="1"/>
      <c r="J37" s="1"/>
      <c r="K37" s="1"/>
      <c r="L37" s="1"/>
      <c r="M37" s="1"/>
      <c r="N37" s="1"/>
      <c r="O37" s="1"/>
      <c r="P37" s="1"/>
      <c r="Q37" s="1"/>
      <c r="R37" s="1"/>
      <c r="S37" s="1"/>
      <c r="T37" s="1"/>
    </row>
    <row r="38" customFormat="false" ht="15" hidden="false" customHeight="false" outlineLevel="0" collapsed="false">
      <c r="A38" s="1"/>
      <c r="B38" s="1"/>
      <c r="C38" s="1"/>
      <c r="D38" s="1"/>
      <c r="E38" s="1"/>
      <c r="F38" s="1"/>
      <c r="G38" s="1"/>
      <c r="H38" s="1"/>
      <c r="I38" s="1"/>
      <c r="J38" s="1"/>
      <c r="K38" s="1"/>
      <c r="L38" s="1"/>
      <c r="M38" s="1"/>
      <c r="N38" s="1"/>
      <c r="O38" s="1"/>
      <c r="P38" s="1"/>
      <c r="Q38" s="1"/>
      <c r="R38" s="1"/>
      <c r="S38" s="1"/>
      <c r="T38" s="1"/>
    </row>
    <row r="39" customFormat="false" ht="15" hidden="false" customHeight="false" outlineLevel="0" collapsed="false">
      <c r="A39" s="1"/>
      <c r="B39" s="1"/>
      <c r="C39" s="1"/>
      <c r="D39" s="1"/>
      <c r="E39" s="1"/>
      <c r="F39" s="1"/>
      <c r="G39" s="1"/>
      <c r="H39" s="1"/>
      <c r="I39" s="1"/>
      <c r="J39" s="1"/>
      <c r="K39" s="1"/>
      <c r="L39" s="1"/>
      <c r="M39" s="1"/>
      <c r="N39" s="1"/>
      <c r="O39" s="1"/>
      <c r="P39" s="1"/>
      <c r="Q39" s="1"/>
      <c r="R39" s="1"/>
      <c r="S39" s="1"/>
      <c r="T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1"/>
    </row>
    <row r="41" customFormat="false" ht="15" hidden="false" customHeight="false" outlineLevel="0" collapsed="false">
      <c r="A41" s="1"/>
      <c r="B41" s="1"/>
      <c r="C41" s="1"/>
      <c r="D41" s="1"/>
      <c r="E41" s="1"/>
      <c r="F41" s="1"/>
      <c r="G41" s="1"/>
      <c r="H41" s="1"/>
      <c r="I41" s="1"/>
      <c r="J41" s="1"/>
      <c r="K41" s="1"/>
      <c r="L41" s="1"/>
      <c r="M41" s="1"/>
      <c r="N41" s="1"/>
      <c r="O41" s="1"/>
      <c r="P41" s="1"/>
      <c r="Q41" s="1"/>
      <c r="R41" s="1"/>
      <c r="S41" s="1"/>
      <c r="T41" s="1"/>
    </row>
    <row r="42" customFormat="false" ht="15" hidden="false" customHeight="false" outlineLevel="0" collapsed="false">
      <c r="A42" s="1"/>
      <c r="B42" s="1"/>
      <c r="C42" s="1"/>
      <c r="D42" s="1"/>
      <c r="E42" s="1"/>
      <c r="F42" s="1"/>
      <c r="G42" s="1"/>
      <c r="H42" s="1"/>
      <c r="I42" s="1"/>
      <c r="J42" s="1"/>
      <c r="K42" s="1"/>
      <c r="L42" s="1"/>
      <c r="M42" s="1"/>
      <c r="N42" s="1"/>
      <c r="O42" s="1"/>
      <c r="P42" s="1"/>
      <c r="Q42" s="1"/>
      <c r="R42" s="1"/>
      <c r="S42" s="1"/>
      <c r="T42" s="1"/>
    </row>
    <row r="43" customFormat="false" ht="15" hidden="false" customHeight="false" outlineLevel="0" collapsed="false">
      <c r="A43" s="1"/>
      <c r="B43" s="1"/>
      <c r="C43" s="1"/>
      <c r="D43" s="1"/>
      <c r="E43" s="1"/>
      <c r="F43" s="1"/>
      <c r="G43" s="1"/>
      <c r="H43" s="1"/>
      <c r="I43" s="1"/>
      <c r="J43" s="1"/>
      <c r="K43" s="1"/>
      <c r="L43" s="1"/>
      <c r="M43" s="1"/>
      <c r="N43" s="1"/>
      <c r="O43" s="1"/>
      <c r="P43" s="1"/>
      <c r="Q43" s="1"/>
      <c r="R43" s="1"/>
      <c r="S43" s="1"/>
      <c r="T43" s="1"/>
    </row>
    <row r="44" customFormat="false" ht="15" hidden="false" customHeight="false" outlineLevel="0" collapsed="false">
      <c r="A44" s="1"/>
      <c r="B44" s="1"/>
      <c r="C44" s="1"/>
      <c r="D44" s="1"/>
      <c r="E44" s="1"/>
      <c r="F44" s="1"/>
      <c r="G44" s="1"/>
      <c r="H44" s="1"/>
      <c r="I44" s="1"/>
      <c r="J44" s="1"/>
      <c r="K44" s="1"/>
      <c r="L44" s="1"/>
      <c r="M44" s="1"/>
      <c r="N44" s="1"/>
      <c r="O44" s="1"/>
      <c r="P44" s="1"/>
      <c r="Q44" s="1"/>
      <c r="R44" s="1"/>
      <c r="S44" s="1"/>
      <c r="T44" s="1"/>
    </row>
    <row r="45" customFormat="false" ht="15" hidden="false" customHeight="false" outlineLevel="0" collapsed="false">
      <c r="A45" s="1"/>
      <c r="B45" s="1"/>
      <c r="C45" s="1"/>
      <c r="D45" s="1"/>
      <c r="E45" s="1"/>
      <c r="F45" s="1"/>
      <c r="G45" s="1"/>
      <c r="H45" s="1"/>
      <c r="I45" s="1"/>
      <c r="J45" s="1"/>
      <c r="K45" s="1"/>
      <c r="L45" s="1"/>
      <c r="M45" s="1"/>
      <c r="N45" s="1"/>
      <c r="O45" s="1"/>
      <c r="P45" s="1"/>
      <c r="Q45" s="1"/>
      <c r="R45" s="1"/>
      <c r="S45" s="1"/>
      <c r="T45" s="1"/>
    </row>
    <row r="46" customFormat="false" ht="15" hidden="false" customHeight="false" outlineLevel="0" collapsed="false">
      <c r="A46" s="1"/>
      <c r="B46" s="1"/>
      <c r="C46" s="1"/>
      <c r="D46" s="1"/>
      <c r="E46" s="1"/>
      <c r="F46" s="1"/>
      <c r="G46" s="1"/>
      <c r="H46" s="1"/>
      <c r="I46" s="1"/>
      <c r="J46" s="1"/>
      <c r="K46" s="1"/>
      <c r="L46" s="1"/>
      <c r="M46" s="1"/>
      <c r="N46" s="1"/>
      <c r="O46" s="1"/>
      <c r="P46" s="1"/>
      <c r="Q46" s="1"/>
      <c r="R46" s="1"/>
      <c r="S46" s="1"/>
      <c r="T46" s="1"/>
    </row>
    <row r="47" customFormat="false" ht="15" hidden="false" customHeight="false" outlineLevel="0" collapsed="false">
      <c r="A47" s="1"/>
      <c r="B47" s="1"/>
      <c r="C47" s="1"/>
      <c r="D47" s="1"/>
      <c r="E47" s="1"/>
      <c r="F47" s="1"/>
      <c r="G47" s="1"/>
      <c r="H47" s="1"/>
      <c r="I47" s="1"/>
      <c r="J47" s="1"/>
      <c r="K47" s="1"/>
      <c r="L47" s="1"/>
      <c r="M47" s="1"/>
      <c r="N47" s="1"/>
      <c r="O47" s="1"/>
      <c r="P47" s="1"/>
      <c r="Q47" s="1"/>
      <c r="R47" s="1"/>
      <c r="S47" s="1"/>
      <c r="T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c r="S48" s="1"/>
      <c r="T48" s="1"/>
    </row>
    <row r="49" customFormat="false" ht="15" hidden="false" customHeight="false" outlineLevel="0" collapsed="false">
      <c r="A49" s="1"/>
      <c r="B49" s="1"/>
      <c r="C49" s="1"/>
      <c r="D49" s="1"/>
      <c r="E49" s="1"/>
      <c r="F49" s="1"/>
      <c r="G49" s="1"/>
      <c r="H49" s="1"/>
      <c r="I49" s="1"/>
      <c r="J49" s="1"/>
      <c r="K49" s="1"/>
      <c r="L49" s="1"/>
      <c r="M49" s="1"/>
      <c r="N49" s="1"/>
      <c r="O49" s="1"/>
      <c r="P49" s="1"/>
      <c r="Q49" s="1"/>
      <c r="R49" s="1"/>
      <c r="S49" s="1"/>
      <c r="T49" s="1"/>
    </row>
    <row r="50" customFormat="false" ht="15" hidden="false" customHeight="false" outlineLevel="0" collapsed="false">
      <c r="A50" s="1"/>
      <c r="B50" s="1"/>
      <c r="C50" s="1"/>
      <c r="D50" s="1"/>
      <c r="E50" s="1"/>
      <c r="F50" s="1"/>
      <c r="G50" s="1"/>
      <c r="H50" s="1"/>
      <c r="I50" s="1"/>
      <c r="J50" s="1"/>
      <c r="K50" s="1"/>
      <c r="L50" s="1"/>
      <c r="M50" s="1"/>
      <c r="N50" s="1"/>
      <c r="O50" s="1"/>
      <c r="P50" s="1"/>
      <c r="Q50" s="1"/>
      <c r="R50" s="1"/>
      <c r="S50" s="1"/>
      <c r="T50" s="1"/>
    </row>
    <row r="51" customFormat="false" ht="15" hidden="false" customHeight="false" outlineLevel="0" collapsed="false">
      <c r="A51" s="1"/>
      <c r="B51" s="1"/>
      <c r="C51" s="1"/>
      <c r="D51" s="1"/>
      <c r="E51" s="1"/>
      <c r="F51" s="1"/>
      <c r="G51" s="1"/>
      <c r="H51" s="1"/>
      <c r="I51" s="1"/>
      <c r="J51" s="1"/>
      <c r="K51" s="1"/>
      <c r="L51" s="1"/>
      <c r="M51" s="1"/>
      <c r="N51" s="1"/>
      <c r="O51" s="1"/>
      <c r="P51" s="1"/>
      <c r="Q51" s="1"/>
      <c r="R51" s="1"/>
      <c r="S51" s="1"/>
      <c r="T51" s="1"/>
    </row>
    <row r="52" customFormat="false" ht="15" hidden="false" customHeight="false" outlineLevel="0" collapsed="false">
      <c r="A52" s="1"/>
      <c r="B52" s="1"/>
      <c r="C52" s="1"/>
      <c r="D52" s="1"/>
      <c r="E52" s="1"/>
      <c r="F52" s="1"/>
      <c r="G52" s="1"/>
      <c r="H52" s="1"/>
      <c r="I52" s="1"/>
      <c r="J52" s="1"/>
      <c r="K52" s="1"/>
      <c r="L52" s="1"/>
      <c r="M52" s="1"/>
      <c r="N52" s="1"/>
      <c r="O52" s="1"/>
      <c r="P52" s="1"/>
      <c r="Q52" s="1"/>
      <c r="R52" s="1"/>
      <c r="S52" s="1"/>
      <c r="T52" s="1"/>
    </row>
    <row r="53" customFormat="false" ht="15" hidden="false" customHeight="false" outlineLevel="0" collapsed="false">
      <c r="A53" s="1"/>
      <c r="B53" s="1"/>
      <c r="C53" s="1"/>
      <c r="D53" s="1"/>
      <c r="E53" s="1"/>
      <c r="F53" s="1"/>
      <c r="G53" s="1"/>
      <c r="H53" s="1"/>
      <c r="I53" s="1"/>
      <c r="J53" s="1"/>
      <c r="K53" s="1"/>
      <c r="L53" s="1"/>
      <c r="M53" s="1"/>
      <c r="N53" s="1"/>
      <c r="O53" s="1"/>
      <c r="P53" s="1"/>
      <c r="Q53" s="1"/>
      <c r="R53" s="1"/>
      <c r="S53" s="1"/>
      <c r="T53" s="1"/>
    </row>
    <row r="54" customFormat="false" ht="15" hidden="false" customHeight="false" outlineLevel="0" collapsed="false">
      <c r="A54" s="1"/>
      <c r="B54" s="1"/>
      <c r="C54" s="1"/>
      <c r="D54" s="1"/>
      <c r="E54" s="1"/>
      <c r="F54" s="1"/>
      <c r="G54" s="1"/>
      <c r="H54" s="1"/>
      <c r="I54" s="1"/>
      <c r="J54" s="1"/>
      <c r="K54" s="1"/>
      <c r="L54" s="1"/>
      <c r="M54" s="1"/>
      <c r="N54" s="1"/>
      <c r="O54" s="1"/>
      <c r="P54" s="1"/>
      <c r="Q54" s="1"/>
      <c r="R54" s="1"/>
      <c r="S54" s="1"/>
      <c r="T54" s="1"/>
    </row>
    <row r="55" customFormat="false" ht="15" hidden="false" customHeight="false" outlineLevel="0" collapsed="false">
      <c r="A55" s="1"/>
      <c r="B55" s="1"/>
      <c r="C55" s="1"/>
      <c r="D55" s="1"/>
      <c r="E55" s="1"/>
      <c r="F55" s="1"/>
      <c r="G55" s="1"/>
      <c r="H55" s="1"/>
      <c r="I55" s="1"/>
      <c r="J55" s="1"/>
      <c r="K55" s="1"/>
      <c r="L55" s="1"/>
      <c r="M55" s="1"/>
      <c r="N55" s="1"/>
      <c r="O55" s="1"/>
      <c r="P55" s="1"/>
      <c r="Q55" s="1"/>
      <c r="R55" s="1"/>
      <c r="S55" s="1"/>
      <c r="T55" s="1"/>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row>
    <row r="57" customFormat="false" ht="15" hidden="false" customHeight="false" outlineLevel="0" collapsed="false">
      <c r="A57" s="1"/>
      <c r="B57" s="1"/>
      <c r="C57" s="1"/>
      <c r="D57" s="1"/>
      <c r="E57" s="1"/>
      <c r="F57" s="1"/>
      <c r="G57" s="1"/>
      <c r="H57" s="1"/>
      <c r="I57" s="1"/>
      <c r="J57" s="1"/>
      <c r="K57" s="1"/>
      <c r="L57" s="1"/>
      <c r="M57" s="1"/>
      <c r="N57" s="1"/>
      <c r="O57" s="1"/>
      <c r="P57" s="1"/>
      <c r="Q57" s="1"/>
      <c r="R57" s="1"/>
      <c r="S57" s="1"/>
      <c r="T57" s="1"/>
    </row>
    <row r="58" customFormat="false" ht="15" hidden="false" customHeight="false" outlineLevel="0" collapsed="false">
      <c r="A58" s="1"/>
      <c r="B58" s="1"/>
      <c r="C58" s="1"/>
      <c r="D58" s="1"/>
      <c r="E58" s="1"/>
      <c r="F58" s="1"/>
      <c r="G58" s="1"/>
      <c r="H58" s="1"/>
      <c r="I58" s="1"/>
      <c r="J58" s="1"/>
      <c r="K58" s="1"/>
      <c r="L58" s="1"/>
      <c r="M58" s="1"/>
      <c r="N58" s="1"/>
      <c r="O58" s="1"/>
      <c r="P58" s="1"/>
      <c r="Q58" s="1"/>
      <c r="R58" s="1"/>
      <c r="S58" s="1"/>
      <c r="T58" s="1"/>
    </row>
    <row r="59" customFormat="false" ht="15" hidden="false" customHeight="false" outlineLevel="0" collapsed="false">
      <c r="A59" s="1"/>
      <c r="B59" s="1"/>
      <c r="C59" s="1"/>
      <c r="D59" s="1"/>
      <c r="E59" s="1"/>
      <c r="F59" s="1"/>
      <c r="G59" s="1"/>
      <c r="H59" s="1"/>
      <c r="I59" s="1"/>
      <c r="J59" s="1"/>
      <c r="K59" s="1"/>
      <c r="L59" s="1"/>
      <c r="M59" s="1"/>
      <c r="N59" s="1"/>
      <c r="O59" s="1"/>
      <c r="P59" s="1"/>
      <c r="Q59" s="1"/>
      <c r="R59" s="1"/>
      <c r="S59" s="1"/>
      <c r="T59" s="1"/>
    </row>
    <row r="60" customFormat="false" ht="15" hidden="false" customHeight="false" outlineLevel="0" collapsed="false">
      <c r="A60" s="1"/>
      <c r="B60" s="1"/>
      <c r="C60" s="1"/>
      <c r="D60" s="1"/>
      <c r="E60" s="1"/>
      <c r="F60" s="1"/>
      <c r="G60" s="1"/>
      <c r="H60" s="1"/>
      <c r="I60" s="1"/>
      <c r="J60" s="1"/>
      <c r="K60" s="1"/>
      <c r="L60" s="1"/>
      <c r="M60" s="1"/>
      <c r="N60" s="1"/>
      <c r="O60" s="1"/>
      <c r="P60" s="1"/>
      <c r="Q60" s="1"/>
      <c r="R60" s="1"/>
      <c r="S60" s="1"/>
      <c r="T60" s="1"/>
    </row>
    <row r="61" customFormat="false" ht="15" hidden="false" customHeight="false" outlineLevel="0" collapsed="false">
      <c r="A61" s="1"/>
      <c r="B61" s="1"/>
      <c r="C61" s="1"/>
      <c r="D61" s="1"/>
      <c r="E61" s="1"/>
      <c r="F61" s="1"/>
      <c r="G61" s="1"/>
      <c r="H61" s="1"/>
      <c r="I61" s="1"/>
      <c r="J61" s="1"/>
      <c r="K61" s="1"/>
      <c r="L61" s="1"/>
      <c r="M61" s="1"/>
      <c r="N61" s="1"/>
      <c r="O61" s="1"/>
      <c r="P61" s="1"/>
      <c r="Q61" s="1"/>
      <c r="R61" s="1"/>
      <c r="S61" s="1"/>
      <c r="T61" s="1"/>
    </row>
    <row r="62" customFormat="false" ht="15" hidden="false" customHeight="false" outlineLevel="0" collapsed="false">
      <c r="A62" s="1"/>
      <c r="B62" s="1"/>
      <c r="C62" s="1"/>
      <c r="D62" s="1"/>
      <c r="E62" s="1"/>
      <c r="F62" s="1"/>
      <c r="G62" s="1"/>
      <c r="H62" s="1"/>
      <c r="I62" s="1"/>
      <c r="J62" s="1"/>
      <c r="K62" s="1"/>
      <c r="L62" s="1"/>
      <c r="M62" s="1"/>
      <c r="N62" s="1"/>
      <c r="O62" s="1"/>
      <c r="P62" s="1"/>
      <c r="Q62" s="1"/>
      <c r="R62" s="1"/>
      <c r="S62" s="1"/>
      <c r="T62" s="1"/>
    </row>
    <row r="63" customFormat="false" ht="15" hidden="false" customHeight="false" outlineLevel="0" collapsed="false">
      <c r="A63" s="1"/>
      <c r="B63" s="1"/>
      <c r="C63" s="1"/>
      <c r="D63" s="1"/>
      <c r="E63" s="1"/>
      <c r="F63" s="1"/>
      <c r="G63" s="1"/>
      <c r="H63" s="1"/>
      <c r="I63" s="1"/>
      <c r="J63" s="1"/>
      <c r="K63" s="1"/>
      <c r="L63" s="1"/>
      <c r="M63" s="1"/>
      <c r="N63" s="1"/>
      <c r="O63" s="1"/>
      <c r="P63" s="1"/>
      <c r="Q63" s="1"/>
      <c r="R63" s="1"/>
      <c r="S63" s="1"/>
      <c r="T63" s="1"/>
    </row>
    <row r="64" customFormat="false" ht="15" hidden="false" customHeight="false" outlineLevel="0" collapsed="false">
      <c r="A64" s="1"/>
      <c r="B64" s="1"/>
      <c r="C64" s="1"/>
      <c r="D64" s="1"/>
      <c r="E64" s="1"/>
      <c r="F64" s="1"/>
      <c r="G64" s="1"/>
      <c r="H64" s="1"/>
      <c r="I64" s="1"/>
      <c r="J64" s="1"/>
      <c r="K64" s="1"/>
      <c r="L64" s="1"/>
      <c r="M64" s="1"/>
      <c r="N64" s="1"/>
      <c r="O64" s="1"/>
      <c r="P64" s="1"/>
      <c r="Q64" s="1"/>
      <c r="R64" s="1"/>
      <c r="S64" s="1"/>
      <c r="T64" s="1"/>
    </row>
    <row r="65" customFormat="false" ht="15" hidden="false" customHeight="false" outlineLevel="0" collapsed="false">
      <c r="A65" s="1"/>
      <c r="B65" s="1"/>
      <c r="C65" s="1"/>
      <c r="D65" s="1"/>
      <c r="E65" s="1"/>
      <c r="F65" s="1"/>
      <c r="G65" s="1"/>
      <c r="H65" s="1"/>
      <c r="I65" s="1"/>
      <c r="J65" s="1"/>
      <c r="K65" s="1"/>
      <c r="L65" s="1"/>
      <c r="M65" s="1"/>
      <c r="N65" s="1"/>
      <c r="O65" s="1"/>
      <c r="P65" s="1"/>
      <c r="Q65" s="1"/>
      <c r="R65" s="1"/>
      <c r="S65" s="1"/>
      <c r="T65" s="1"/>
    </row>
    <row r="66" customFormat="false" ht="15" hidden="false" customHeight="false" outlineLevel="0" collapsed="false">
      <c r="A66" s="1"/>
      <c r="B66" s="1"/>
      <c r="C66" s="1"/>
      <c r="D66" s="1"/>
      <c r="E66" s="1"/>
      <c r="F66" s="1"/>
      <c r="G66" s="1"/>
      <c r="H66" s="1"/>
      <c r="I66" s="1"/>
      <c r="J66" s="1"/>
      <c r="K66" s="1"/>
      <c r="L66" s="1"/>
      <c r="M66" s="1"/>
      <c r="N66" s="1"/>
      <c r="O66" s="1"/>
      <c r="P66" s="1"/>
      <c r="Q66" s="1"/>
      <c r="R66" s="1"/>
      <c r="S66" s="1"/>
      <c r="T66" s="1"/>
    </row>
    <row r="67" customFormat="false" ht="15" hidden="false" customHeight="false" outlineLevel="0" collapsed="false">
      <c r="A67" s="1"/>
      <c r="B67" s="1"/>
      <c r="C67" s="1"/>
      <c r="D67" s="1"/>
      <c r="E67" s="1"/>
      <c r="F67" s="1"/>
      <c r="G67" s="1"/>
      <c r="H67" s="1"/>
      <c r="I67" s="1"/>
      <c r="J67" s="1"/>
      <c r="K67" s="1"/>
      <c r="L67" s="1"/>
      <c r="M67" s="1"/>
      <c r="N67" s="1"/>
      <c r="O67" s="1"/>
      <c r="P67" s="1"/>
      <c r="Q67" s="1"/>
      <c r="R67" s="1"/>
      <c r="S67" s="1"/>
      <c r="T67" s="1"/>
    </row>
    <row r="68" customFormat="false" ht="15" hidden="false" customHeight="false" outlineLevel="0" collapsed="false">
      <c r="A68" s="1"/>
      <c r="B68" s="1"/>
      <c r="C68" s="1"/>
      <c r="D68" s="1"/>
      <c r="E68" s="1"/>
      <c r="F68" s="1"/>
      <c r="G68" s="1"/>
      <c r="H68" s="1"/>
      <c r="I68" s="1"/>
      <c r="J68" s="1"/>
      <c r="K68" s="1"/>
      <c r="L68" s="1"/>
      <c r="M68" s="1"/>
      <c r="N68" s="1"/>
      <c r="O68" s="1"/>
      <c r="P68" s="1"/>
      <c r="Q68" s="1"/>
      <c r="R68" s="1"/>
      <c r="S68" s="1"/>
      <c r="T68" s="1"/>
    </row>
    <row r="69" customFormat="false" ht="15" hidden="false" customHeight="false" outlineLevel="0" collapsed="false">
      <c r="A69" s="1"/>
      <c r="B69" s="1"/>
      <c r="C69" s="1"/>
      <c r="D69" s="1"/>
      <c r="E69" s="1"/>
      <c r="F69" s="1"/>
      <c r="G69" s="1"/>
      <c r="H69" s="1"/>
      <c r="I69" s="1"/>
      <c r="J69" s="1"/>
      <c r="K69" s="1"/>
      <c r="L69" s="1"/>
      <c r="M69" s="1"/>
      <c r="N69" s="1"/>
      <c r="O69" s="1"/>
      <c r="P69" s="1"/>
      <c r="Q69" s="1"/>
      <c r="R69" s="1"/>
      <c r="S69" s="1"/>
      <c r="T69" s="1"/>
    </row>
    <row r="70" customFormat="false" ht="15" hidden="false" customHeight="false" outlineLevel="0" collapsed="false">
      <c r="A70" s="1"/>
      <c r="B70" s="1"/>
      <c r="C70" s="1"/>
      <c r="D70" s="1"/>
      <c r="E70" s="1"/>
      <c r="F70" s="1"/>
      <c r="G70" s="1"/>
      <c r="H70" s="1"/>
      <c r="I70" s="1"/>
      <c r="J70" s="1"/>
      <c r="K70" s="1"/>
      <c r="L70" s="1"/>
      <c r="M70" s="1"/>
      <c r="N70" s="1"/>
      <c r="O70" s="1"/>
      <c r="P70" s="1"/>
      <c r="Q70" s="1"/>
      <c r="R70" s="1"/>
      <c r="S70" s="1"/>
      <c r="T70" s="1"/>
    </row>
  </sheetData>
  <mergeCells count="5">
    <mergeCell ref="B6:D6"/>
    <mergeCell ref="E6:J6"/>
    <mergeCell ref="K6:P6"/>
    <mergeCell ref="Q6:V6"/>
    <mergeCell ref="B16:V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6" min="3" style="0" width="18"/>
    <col collapsed="false" customWidth="true" hidden="false" outlineLevel="0" max="7" min="7" style="0" width="22"/>
  </cols>
  <sheetData>
    <row r="1" customFormat="false" ht="15" hidden="false" customHeight="false" outlineLevel="0" collapsed="false">
      <c r="A1" s="1"/>
      <c r="B1" s="1"/>
      <c r="C1" s="1"/>
      <c r="D1" s="1"/>
      <c r="E1" s="1"/>
      <c r="F1" s="1"/>
      <c r="G1" s="1"/>
      <c r="H1" s="1"/>
      <c r="I1" s="1"/>
      <c r="J1" s="1"/>
      <c r="K1" s="1"/>
      <c r="L1" s="1"/>
      <c r="M1" s="1"/>
      <c r="N1" s="1"/>
    </row>
    <row r="2" customFormat="false" ht="16.15" hidden="false" customHeight="false" outlineLevel="0" collapsed="false">
      <c r="A2" s="1"/>
      <c r="B2" s="58" t="s">
        <v>102</v>
      </c>
      <c r="C2" s="58"/>
      <c r="D2" s="58"/>
      <c r="E2" s="58"/>
      <c r="F2" s="58"/>
      <c r="G2" s="58"/>
      <c r="H2" s="1"/>
      <c r="I2" s="1"/>
      <c r="J2" s="1"/>
      <c r="K2" s="1"/>
      <c r="L2" s="1"/>
      <c r="M2" s="1"/>
      <c r="N2" s="1"/>
    </row>
    <row r="3" customFormat="false" ht="15" hidden="false" customHeight="false" outlineLevel="0" collapsed="false">
      <c r="A3" s="1"/>
      <c r="B3" s="1"/>
      <c r="C3" s="1"/>
      <c r="D3" s="1"/>
      <c r="E3" s="1"/>
      <c r="F3" s="1"/>
      <c r="G3" s="1"/>
      <c r="H3" s="1"/>
      <c r="I3" s="1"/>
      <c r="J3" s="1"/>
      <c r="K3" s="1"/>
      <c r="L3" s="1"/>
      <c r="M3" s="1"/>
      <c r="N3" s="1"/>
    </row>
    <row r="4" customFormat="false" ht="18" hidden="false" customHeight="true" outlineLevel="0" collapsed="false">
      <c r="A4" s="1"/>
      <c r="B4" s="59" t="s">
        <v>103</v>
      </c>
      <c r="C4" s="59" t="s">
        <v>104</v>
      </c>
      <c r="D4" s="59" t="s">
        <v>105</v>
      </c>
      <c r="E4" s="59" t="s">
        <v>106</v>
      </c>
      <c r="F4" s="59" t="s">
        <v>107</v>
      </c>
      <c r="G4" s="59" t="s">
        <v>108</v>
      </c>
      <c r="H4" s="1"/>
      <c r="I4" s="1"/>
      <c r="J4" s="1"/>
      <c r="K4" s="1"/>
      <c r="L4" s="1"/>
      <c r="M4" s="1"/>
      <c r="N4" s="1"/>
    </row>
    <row r="5" customFormat="false" ht="43.5" hidden="false" customHeight="true" outlineLevel="0" collapsed="false">
      <c r="A5" s="1"/>
      <c r="B5" s="60" t="s">
        <v>109</v>
      </c>
      <c r="C5" s="61" t="s">
        <v>110</v>
      </c>
      <c r="D5" s="61" t="s">
        <v>7</v>
      </c>
      <c r="E5" s="61" t="s">
        <v>8</v>
      </c>
      <c r="F5" s="61" t="s">
        <v>111</v>
      </c>
      <c r="G5" s="62" t="s">
        <v>112</v>
      </c>
      <c r="H5" s="1"/>
      <c r="I5" s="1"/>
      <c r="J5" s="1"/>
      <c r="K5" s="1"/>
      <c r="L5" s="1"/>
      <c r="M5" s="1"/>
      <c r="N5" s="1"/>
    </row>
    <row r="6" customFormat="false" ht="43.5" hidden="false" customHeight="true" outlineLevel="0" collapsed="false">
      <c r="A6" s="1"/>
      <c r="B6" s="63" t="s">
        <v>113</v>
      </c>
      <c r="C6" s="64" t="s">
        <v>114</v>
      </c>
      <c r="D6" s="64" t="s">
        <v>115</v>
      </c>
      <c r="E6" s="64" t="s">
        <v>116</v>
      </c>
      <c r="F6" s="64" t="s">
        <v>117</v>
      </c>
      <c r="G6" s="65" t="s">
        <v>118</v>
      </c>
      <c r="H6" s="1"/>
      <c r="I6" s="1"/>
      <c r="J6" s="1"/>
      <c r="K6" s="1"/>
      <c r="L6" s="1"/>
      <c r="M6" s="1"/>
      <c r="N6" s="1"/>
    </row>
    <row r="7" customFormat="false" ht="43.5" hidden="false" customHeight="true" outlineLevel="0" collapsed="false">
      <c r="A7" s="1"/>
      <c r="B7" s="66" t="s">
        <v>119</v>
      </c>
      <c r="C7" s="61" t="s">
        <v>120</v>
      </c>
      <c r="D7" s="61" t="s">
        <v>121</v>
      </c>
      <c r="E7" s="61" t="s">
        <v>122</v>
      </c>
      <c r="F7" s="61" t="s">
        <v>123</v>
      </c>
      <c r="G7" s="62" t="s">
        <v>124</v>
      </c>
      <c r="H7" s="1"/>
      <c r="I7" s="1"/>
      <c r="J7" s="1"/>
      <c r="K7" s="1"/>
      <c r="L7" s="1"/>
      <c r="M7" s="1"/>
      <c r="N7" s="1"/>
    </row>
    <row r="8" customFormat="false" ht="43.5" hidden="false" customHeight="true" outlineLevel="0" collapsed="false">
      <c r="A8" s="1"/>
      <c r="B8" s="67" t="s">
        <v>125</v>
      </c>
      <c r="C8" s="64" t="s">
        <v>126</v>
      </c>
      <c r="D8" s="64" t="s">
        <v>127</v>
      </c>
      <c r="E8" s="64" t="s">
        <v>128</v>
      </c>
      <c r="F8" s="64" t="s">
        <v>129</v>
      </c>
      <c r="G8" s="65" t="s">
        <v>130</v>
      </c>
      <c r="H8" s="1"/>
      <c r="I8" s="1"/>
      <c r="J8" s="1"/>
      <c r="K8" s="1"/>
      <c r="L8" s="1"/>
      <c r="M8" s="1"/>
      <c r="N8" s="1"/>
    </row>
    <row r="9" customFormat="false" ht="43.5" hidden="false" customHeight="true" outlineLevel="0" collapsed="false">
      <c r="A9" s="1"/>
      <c r="B9" s="68" t="s">
        <v>131</v>
      </c>
      <c r="C9" s="61" t="s">
        <v>132</v>
      </c>
      <c r="D9" s="61" t="s">
        <v>133</v>
      </c>
      <c r="E9" s="61" t="s">
        <v>134</v>
      </c>
      <c r="F9" s="61" t="s">
        <v>135</v>
      </c>
      <c r="G9" s="62" t="s">
        <v>136</v>
      </c>
      <c r="H9" s="1"/>
      <c r="I9" s="1"/>
      <c r="J9" s="1"/>
      <c r="K9" s="1"/>
      <c r="L9" s="1"/>
      <c r="M9" s="1"/>
      <c r="N9" s="1"/>
    </row>
    <row r="10" customFormat="false" ht="15" hidden="false" customHeight="false" outlineLevel="0" collapsed="false">
      <c r="A10" s="1"/>
      <c r="B10" s="1"/>
      <c r="C10" s="1"/>
      <c r="D10" s="1"/>
      <c r="E10" s="1"/>
      <c r="F10" s="1"/>
      <c r="G10" s="1"/>
      <c r="H10" s="1"/>
      <c r="I10" s="1"/>
      <c r="J10" s="1"/>
      <c r="K10" s="1"/>
      <c r="L10" s="1"/>
      <c r="M10" s="1"/>
      <c r="N10" s="1"/>
    </row>
    <row r="11" customFormat="false" ht="15" hidden="false" customHeight="false" outlineLevel="0" collapsed="false">
      <c r="A11" s="1"/>
      <c r="B11" s="69" t="s">
        <v>137</v>
      </c>
      <c r="C11" s="69"/>
      <c r="D11" s="69"/>
      <c r="E11" s="69"/>
      <c r="F11" s="69"/>
      <c r="G11" s="69"/>
      <c r="H11" s="1"/>
      <c r="I11" s="1"/>
      <c r="J11" s="1"/>
      <c r="K11" s="1"/>
      <c r="L11" s="1"/>
      <c r="M11" s="1"/>
      <c r="N11" s="1"/>
    </row>
    <row r="12" customFormat="false" ht="15" hidden="false" customHeight="false" outlineLevel="0" collapsed="false">
      <c r="A12" s="1"/>
      <c r="B12" s="70" t="s">
        <v>138</v>
      </c>
      <c r="C12" s="70" t="s">
        <v>139</v>
      </c>
      <c r="D12" s="70" t="s">
        <v>140</v>
      </c>
      <c r="E12" s="70" t="s">
        <v>141</v>
      </c>
      <c r="F12" s="70" t="s">
        <v>142</v>
      </c>
      <c r="G12" s="70" t="s">
        <v>143</v>
      </c>
      <c r="H12" s="1"/>
      <c r="I12" s="1"/>
      <c r="J12" s="1"/>
      <c r="K12" s="1"/>
      <c r="L12" s="1"/>
      <c r="M12" s="1"/>
      <c r="N12" s="1"/>
    </row>
    <row r="13" customFormat="false" ht="27.75" hidden="false" customHeight="true" outlineLevel="0" collapsed="false">
      <c r="A13" s="1"/>
      <c r="B13" s="71" t="s">
        <v>144</v>
      </c>
      <c r="C13" s="61" t="s">
        <v>145</v>
      </c>
      <c r="D13" s="61" t="s">
        <v>145</v>
      </c>
      <c r="E13" s="61" t="s">
        <v>146</v>
      </c>
      <c r="F13" s="61" t="s">
        <v>147</v>
      </c>
      <c r="G13" s="61" t="s">
        <v>148</v>
      </c>
      <c r="H13" s="1"/>
      <c r="I13" s="1"/>
      <c r="J13" s="1"/>
      <c r="K13" s="1"/>
      <c r="L13" s="1"/>
      <c r="M13" s="1"/>
      <c r="N13" s="1"/>
    </row>
    <row r="14" customFormat="false" ht="27.75" hidden="false" customHeight="true" outlineLevel="0" collapsed="false">
      <c r="A14" s="1"/>
      <c r="B14" s="72" t="s">
        <v>149</v>
      </c>
      <c r="C14" s="64" t="s">
        <v>135</v>
      </c>
      <c r="D14" s="64" t="s">
        <v>150</v>
      </c>
      <c r="E14" s="64" t="s">
        <v>151</v>
      </c>
      <c r="F14" s="64" t="s">
        <v>152</v>
      </c>
      <c r="G14" s="64" t="s">
        <v>153</v>
      </c>
      <c r="H14" s="1"/>
      <c r="I14" s="1"/>
      <c r="J14" s="1"/>
      <c r="K14" s="1"/>
      <c r="L14" s="1"/>
      <c r="M14" s="1"/>
      <c r="N14" s="1"/>
    </row>
    <row r="15" customFormat="false" ht="27.75" hidden="false" customHeight="true" outlineLevel="0" collapsed="false">
      <c r="A15" s="1"/>
      <c r="B15" s="71" t="s">
        <v>154</v>
      </c>
      <c r="C15" s="61" t="s">
        <v>155</v>
      </c>
      <c r="D15" s="61" t="s">
        <v>156</v>
      </c>
      <c r="E15" s="61" t="s">
        <v>157</v>
      </c>
      <c r="F15" s="61" t="s">
        <v>158</v>
      </c>
      <c r="G15" s="61" t="s">
        <v>159</v>
      </c>
      <c r="H15" s="1"/>
      <c r="I15" s="1"/>
      <c r="J15" s="1"/>
      <c r="K15" s="1"/>
      <c r="L15" s="1"/>
      <c r="M15" s="1"/>
      <c r="N15" s="1"/>
    </row>
    <row r="16" customFormat="false" ht="27.75" hidden="false" customHeight="true" outlineLevel="0" collapsed="false">
      <c r="A16" s="1"/>
      <c r="B16" s="72" t="s">
        <v>160</v>
      </c>
      <c r="C16" s="64" t="s">
        <v>161</v>
      </c>
      <c r="D16" s="64" t="s">
        <v>162</v>
      </c>
      <c r="E16" s="64" t="s">
        <v>163</v>
      </c>
      <c r="F16" s="64" t="s">
        <v>164</v>
      </c>
      <c r="G16" s="64" t="s">
        <v>165</v>
      </c>
      <c r="H16" s="1"/>
      <c r="I16" s="1"/>
      <c r="J16" s="1"/>
      <c r="K16" s="1"/>
      <c r="L16" s="1"/>
      <c r="M16" s="1"/>
      <c r="N16" s="1"/>
    </row>
    <row r="17" customFormat="false" ht="27.75" hidden="false" customHeight="true" outlineLevel="0" collapsed="false">
      <c r="A17" s="1"/>
      <c r="B17" s="71" t="s">
        <v>166</v>
      </c>
      <c r="C17" s="61" t="s">
        <v>135</v>
      </c>
      <c r="D17" s="61" t="s">
        <v>167</v>
      </c>
      <c r="E17" s="61" t="s">
        <v>168</v>
      </c>
      <c r="F17" s="61" t="s">
        <v>169</v>
      </c>
      <c r="G17" s="73" t="s">
        <v>170</v>
      </c>
      <c r="H17" s="1"/>
      <c r="I17" s="1"/>
      <c r="J17" s="1"/>
      <c r="K17" s="1"/>
      <c r="L17" s="1"/>
      <c r="M17" s="1"/>
      <c r="N17" s="1"/>
    </row>
    <row r="18" customFormat="false" ht="15" hidden="false" customHeight="false" outlineLevel="0" collapsed="false">
      <c r="A18" s="1"/>
      <c r="B18" s="1"/>
      <c r="C18" s="1"/>
      <c r="D18" s="1"/>
      <c r="E18" s="1"/>
      <c r="F18" s="1"/>
      <c r="G18" s="1"/>
      <c r="H18" s="1"/>
      <c r="I18" s="1"/>
      <c r="J18" s="1"/>
      <c r="K18" s="1"/>
      <c r="L18" s="1"/>
      <c r="M18" s="1"/>
      <c r="N18" s="1"/>
    </row>
    <row r="19" customFormat="false" ht="15" hidden="false" customHeight="false" outlineLevel="0" collapsed="false">
      <c r="A19" s="1"/>
      <c r="B19" s="1"/>
      <c r="C19" s="1"/>
      <c r="D19" s="1"/>
      <c r="E19" s="1"/>
      <c r="F19" s="1"/>
      <c r="G19" s="1"/>
      <c r="H19" s="1"/>
      <c r="I19" s="1"/>
      <c r="J19" s="1"/>
      <c r="K19" s="1"/>
      <c r="L19" s="1"/>
      <c r="M19" s="1"/>
      <c r="N19" s="1"/>
    </row>
    <row r="20" customFormat="false" ht="15" hidden="false" customHeight="false" outlineLevel="0" collapsed="false">
      <c r="A20" s="1"/>
      <c r="B20" s="1"/>
      <c r="C20" s="1"/>
      <c r="D20" s="1"/>
      <c r="E20" s="1"/>
      <c r="F20" s="1"/>
      <c r="G20" s="1"/>
      <c r="H20" s="1"/>
      <c r="I20" s="1"/>
      <c r="J20" s="1"/>
      <c r="K20" s="1"/>
      <c r="L20" s="1"/>
      <c r="M20" s="1"/>
      <c r="N20" s="1"/>
    </row>
    <row r="21" customFormat="false" ht="15" hidden="false" customHeight="false" outlineLevel="0" collapsed="false">
      <c r="A21" s="1"/>
      <c r="B21" s="1"/>
      <c r="C21" s="1"/>
      <c r="D21" s="1"/>
      <c r="E21" s="1"/>
      <c r="F21" s="1"/>
      <c r="G21" s="1"/>
      <c r="H21" s="1"/>
      <c r="I21" s="1"/>
      <c r="J21" s="1"/>
      <c r="K21" s="1"/>
      <c r="L21" s="1"/>
      <c r="M21" s="1"/>
      <c r="N21" s="1"/>
    </row>
    <row r="22" customFormat="false" ht="15" hidden="false" customHeight="false" outlineLevel="0" collapsed="false">
      <c r="A22" s="1"/>
      <c r="B22" s="1"/>
      <c r="C22" s="1"/>
      <c r="D22" s="1"/>
      <c r="E22" s="1"/>
      <c r="F22" s="1"/>
      <c r="G22" s="1"/>
      <c r="H22" s="1"/>
      <c r="I22" s="1"/>
      <c r="J22" s="1"/>
      <c r="K22" s="1"/>
      <c r="L22" s="1"/>
      <c r="M22" s="1"/>
      <c r="N22" s="1"/>
    </row>
    <row r="23" customFormat="false" ht="15" hidden="false" customHeight="false" outlineLevel="0" collapsed="false">
      <c r="A23" s="1"/>
      <c r="B23" s="1"/>
      <c r="C23" s="1"/>
      <c r="D23" s="1"/>
      <c r="E23" s="1"/>
      <c r="F23" s="1"/>
      <c r="G23" s="1"/>
      <c r="H23" s="1"/>
      <c r="I23" s="1"/>
      <c r="J23" s="1"/>
      <c r="K23" s="1"/>
      <c r="L23" s="1"/>
      <c r="M23" s="1"/>
      <c r="N23" s="1"/>
    </row>
    <row r="24" customFormat="false" ht="15" hidden="false" customHeight="false" outlineLevel="0" collapsed="false">
      <c r="A24" s="1"/>
      <c r="B24" s="1"/>
      <c r="C24" s="1"/>
      <c r="D24" s="1"/>
      <c r="E24" s="1"/>
      <c r="F24" s="1"/>
      <c r="G24" s="1"/>
      <c r="H24" s="1"/>
      <c r="I24" s="1"/>
      <c r="J24" s="1"/>
      <c r="K24" s="1"/>
      <c r="L24" s="1"/>
      <c r="M24" s="1"/>
      <c r="N24" s="1"/>
    </row>
    <row r="25" customFormat="false" ht="15" hidden="false" customHeight="false" outlineLevel="0" collapsed="false">
      <c r="A25" s="1"/>
      <c r="B25" s="1"/>
      <c r="C25" s="1"/>
      <c r="D25" s="1"/>
      <c r="E25" s="1"/>
      <c r="F25" s="1"/>
      <c r="G25" s="1"/>
      <c r="H25" s="1"/>
      <c r="I25" s="1"/>
      <c r="J25" s="1"/>
      <c r="K25" s="1"/>
      <c r="L25" s="1"/>
      <c r="M25" s="1"/>
      <c r="N25" s="1"/>
    </row>
    <row r="26" customFormat="false" ht="15" hidden="false" customHeight="false" outlineLevel="0" collapsed="false">
      <c r="A26" s="1"/>
      <c r="B26" s="1"/>
      <c r="C26" s="1"/>
      <c r="D26" s="1"/>
      <c r="E26" s="1"/>
      <c r="F26" s="1"/>
      <c r="G26" s="1"/>
      <c r="H26" s="1"/>
      <c r="I26" s="1"/>
      <c r="J26" s="1"/>
      <c r="K26" s="1"/>
      <c r="L26" s="1"/>
      <c r="M26" s="1"/>
      <c r="N26" s="1"/>
    </row>
    <row r="27" customFormat="false" ht="15" hidden="false" customHeight="false" outlineLevel="0" collapsed="false">
      <c r="A27" s="1"/>
      <c r="B27" s="1"/>
      <c r="C27" s="1"/>
      <c r="D27" s="1"/>
      <c r="E27" s="1"/>
      <c r="F27" s="1"/>
      <c r="G27" s="1"/>
      <c r="H27" s="1"/>
      <c r="I27" s="1"/>
      <c r="J27" s="1"/>
      <c r="K27" s="1"/>
      <c r="L27" s="1"/>
      <c r="M27" s="1"/>
      <c r="N27" s="1"/>
    </row>
    <row r="28" customFormat="false" ht="15" hidden="false" customHeight="false" outlineLevel="0" collapsed="false">
      <c r="A28" s="1"/>
      <c r="B28" s="1"/>
      <c r="C28" s="1"/>
      <c r="D28" s="1"/>
      <c r="E28" s="1"/>
      <c r="F28" s="1"/>
      <c r="G28" s="1"/>
      <c r="H28" s="1"/>
      <c r="I28" s="1"/>
      <c r="J28" s="1"/>
      <c r="K28" s="1"/>
      <c r="L28" s="1"/>
      <c r="M28" s="1"/>
      <c r="N28" s="1"/>
    </row>
    <row r="29" customFormat="false" ht="15" hidden="false" customHeight="false" outlineLevel="0" collapsed="false">
      <c r="A29" s="1"/>
      <c r="B29" s="1"/>
      <c r="C29" s="1"/>
      <c r="D29" s="1"/>
      <c r="E29" s="1"/>
      <c r="F29" s="1"/>
      <c r="G29" s="1"/>
      <c r="H29" s="1"/>
      <c r="I29" s="1"/>
      <c r="J29" s="1"/>
      <c r="K29" s="1"/>
      <c r="L29" s="1"/>
      <c r="M29" s="1"/>
      <c r="N29" s="1"/>
    </row>
    <row r="30" customFormat="false" ht="15" hidden="false" customHeight="false" outlineLevel="0" collapsed="false">
      <c r="A30" s="1"/>
      <c r="B30" s="1"/>
      <c r="C30" s="1"/>
      <c r="D30" s="1"/>
      <c r="E30" s="1"/>
      <c r="F30" s="1"/>
      <c r="G30" s="1"/>
      <c r="H30" s="1"/>
      <c r="I30" s="1"/>
      <c r="J30" s="1"/>
      <c r="K30" s="1"/>
      <c r="L30" s="1"/>
      <c r="M30" s="1"/>
      <c r="N30" s="1"/>
    </row>
    <row r="31" customFormat="false" ht="15" hidden="false" customHeight="false" outlineLevel="0" collapsed="false">
      <c r="A31" s="1"/>
      <c r="B31" s="1"/>
      <c r="C31" s="1"/>
      <c r="D31" s="1"/>
      <c r="E31" s="1"/>
      <c r="F31" s="1"/>
      <c r="G31" s="1"/>
      <c r="H31" s="1"/>
      <c r="I31" s="1"/>
      <c r="J31" s="1"/>
      <c r="K31" s="1"/>
      <c r="L31" s="1"/>
      <c r="M31" s="1"/>
      <c r="N31" s="1"/>
    </row>
    <row r="32" customFormat="false" ht="15" hidden="false" customHeight="false" outlineLevel="0" collapsed="false">
      <c r="A32" s="1"/>
      <c r="B32" s="1"/>
      <c r="C32" s="1"/>
      <c r="D32" s="1"/>
      <c r="E32" s="1"/>
      <c r="F32" s="1"/>
      <c r="G32" s="1"/>
      <c r="H32" s="1"/>
      <c r="I32" s="1"/>
      <c r="J32" s="1"/>
      <c r="K32" s="1"/>
      <c r="L32" s="1"/>
      <c r="M32" s="1"/>
      <c r="N32" s="1"/>
    </row>
    <row r="33" customFormat="false" ht="15" hidden="false" customHeight="false" outlineLevel="0" collapsed="false">
      <c r="A33" s="1"/>
      <c r="B33" s="1"/>
      <c r="C33" s="1"/>
      <c r="D33" s="1"/>
      <c r="E33" s="1"/>
      <c r="F33" s="1"/>
      <c r="G33" s="1"/>
      <c r="H33" s="1"/>
      <c r="I33" s="1"/>
      <c r="J33" s="1"/>
      <c r="K33" s="1"/>
      <c r="L33" s="1"/>
      <c r="M33" s="1"/>
      <c r="N33" s="1"/>
    </row>
    <row r="34" customFormat="false" ht="15" hidden="false" customHeight="false" outlineLevel="0" collapsed="false">
      <c r="A34" s="1"/>
      <c r="B34" s="1"/>
      <c r="C34" s="1"/>
      <c r="D34" s="1"/>
      <c r="E34" s="1"/>
      <c r="F34" s="1"/>
      <c r="G34" s="1"/>
      <c r="H34" s="1"/>
      <c r="I34" s="1"/>
      <c r="J34" s="1"/>
      <c r="K34" s="1"/>
      <c r="L34" s="1"/>
      <c r="M34" s="1"/>
      <c r="N34" s="1"/>
    </row>
    <row r="35" customFormat="false" ht="15" hidden="false" customHeight="false" outlineLevel="0" collapsed="false">
      <c r="A35" s="1"/>
      <c r="B35" s="1"/>
      <c r="C35" s="1"/>
      <c r="D35" s="1"/>
      <c r="E35" s="1"/>
      <c r="F35" s="1"/>
      <c r="G35" s="1"/>
      <c r="H35" s="1"/>
      <c r="I35" s="1"/>
      <c r="J35" s="1"/>
      <c r="K35" s="1"/>
      <c r="L35" s="1"/>
      <c r="M35" s="1"/>
      <c r="N35" s="1"/>
    </row>
    <row r="36" customFormat="false" ht="15" hidden="false" customHeight="false" outlineLevel="0" collapsed="false">
      <c r="A36" s="1"/>
      <c r="B36" s="1"/>
      <c r="C36" s="1"/>
      <c r="D36" s="1"/>
      <c r="E36" s="1"/>
      <c r="F36" s="1"/>
      <c r="G36" s="1"/>
      <c r="H36" s="1"/>
      <c r="I36" s="1"/>
      <c r="J36" s="1"/>
      <c r="K36" s="1"/>
      <c r="L36" s="1"/>
      <c r="M36" s="1"/>
      <c r="N36" s="1"/>
    </row>
    <row r="37" customFormat="false" ht="15" hidden="false" customHeight="false" outlineLevel="0" collapsed="false">
      <c r="A37" s="1"/>
      <c r="B37" s="1"/>
      <c r="C37" s="1"/>
      <c r="D37" s="1"/>
      <c r="E37" s="1"/>
      <c r="F37" s="1"/>
      <c r="G37" s="1"/>
      <c r="H37" s="1"/>
      <c r="I37" s="1"/>
      <c r="J37" s="1"/>
      <c r="K37" s="1"/>
      <c r="L37" s="1"/>
      <c r="M37" s="1"/>
      <c r="N37" s="1"/>
    </row>
    <row r="38" customFormat="false" ht="15" hidden="false" customHeight="false" outlineLevel="0" collapsed="false">
      <c r="A38" s="1"/>
      <c r="B38" s="1"/>
      <c r="C38" s="1"/>
      <c r="D38" s="1"/>
      <c r="E38" s="1"/>
      <c r="F38" s="1"/>
      <c r="G38" s="1"/>
      <c r="H38" s="1"/>
      <c r="I38" s="1"/>
      <c r="J38" s="1"/>
      <c r="K38" s="1"/>
      <c r="L38" s="1"/>
      <c r="M38" s="1"/>
      <c r="N38" s="1"/>
    </row>
    <row r="39" customFormat="false" ht="15" hidden="false" customHeight="false" outlineLevel="0" collapsed="false">
      <c r="A39" s="1"/>
      <c r="B39" s="1"/>
      <c r="C39" s="1"/>
      <c r="D39" s="1"/>
      <c r="E39" s="1"/>
      <c r="F39" s="1"/>
      <c r="G39" s="1"/>
      <c r="H39" s="1"/>
      <c r="I39" s="1"/>
      <c r="J39" s="1"/>
      <c r="K39" s="1"/>
      <c r="L39" s="1"/>
      <c r="M39" s="1"/>
      <c r="N39" s="1"/>
    </row>
    <row r="40" customFormat="false" ht="15" hidden="false" customHeight="false" outlineLevel="0" collapsed="false">
      <c r="A40" s="1"/>
      <c r="B40" s="1"/>
      <c r="C40" s="1"/>
      <c r="D40" s="1"/>
      <c r="E40" s="1"/>
      <c r="F40" s="1"/>
      <c r="G40" s="1"/>
      <c r="H40" s="1"/>
      <c r="I40" s="1"/>
      <c r="J40" s="1"/>
      <c r="K40" s="1"/>
      <c r="L40" s="1"/>
      <c r="M40" s="1"/>
      <c r="N40" s="1"/>
    </row>
    <row r="41" customFormat="false" ht="15" hidden="false" customHeight="false" outlineLevel="0" collapsed="false">
      <c r="A41" s="1"/>
      <c r="B41" s="1"/>
      <c r="C41" s="1"/>
      <c r="D41" s="1"/>
      <c r="E41" s="1"/>
      <c r="F41" s="1"/>
      <c r="G41" s="1"/>
      <c r="H41" s="1"/>
      <c r="I41" s="1"/>
      <c r="J41" s="1"/>
      <c r="K41" s="1"/>
      <c r="L41" s="1"/>
      <c r="M41" s="1"/>
      <c r="N41" s="1"/>
    </row>
    <row r="42" customFormat="false" ht="15" hidden="false" customHeight="false" outlineLevel="0" collapsed="false">
      <c r="A42" s="1"/>
      <c r="B42" s="1"/>
      <c r="C42" s="1"/>
      <c r="D42" s="1"/>
      <c r="E42" s="1"/>
      <c r="F42" s="1"/>
      <c r="G42" s="1"/>
      <c r="H42" s="1"/>
      <c r="I42" s="1"/>
      <c r="J42" s="1"/>
      <c r="K42" s="1"/>
      <c r="L42" s="1"/>
      <c r="M42" s="1"/>
      <c r="N42" s="1"/>
    </row>
    <row r="43" customFormat="false" ht="15" hidden="false" customHeight="false" outlineLevel="0" collapsed="false">
      <c r="A43" s="1"/>
      <c r="B43" s="1"/>
      <c r="C43" s="1"/>
      <c r="D43" s="1"/>
      <c r="E43" s="1"/>
      <c r="F43" s="1"/>
      <c r="G43" s="1"/>
      <c r="H43" s="1"/>
      <c r="I43" s="1"/>
      <c r="J43" s="1"/>
      <c r="K43" s="1"/>
      <c r="L43" s="1"/>
      <c r="M43" s="1"/>
      <c r="N43" s="1"/>
    </row>
    <row r="44" customFormat="false" ht="15" hidden="false" customHeight="false" outlineLevel="0" collapsed="false">
      <c r="A44" s="1"/>
      <c r="B44" s="1"/>
      <c r="C44" s="1"/>
      <c r="D44" s="1"/>
      <c r="E44" s="1"/>
      <c r="F44" s="1"/>
      <c r="G44" s="1"/>
      <c r="H44" s="1"/>
      <c r="I44" s="1"/>
      <c r="J44" s="1"/>
      <c r="K44" s="1"/>
      <c r="L44" s="1"/>
      <c r="M44" s="1"/>
      <c r="N44" s="1"/>
    </row>
    <row r="45" customFormat="false" ht="15" hidden="false" customHeight="false" outlineLevel="0" collapsed="false">
      <c r="A45" s="1"/>
      <c r="B45" s="1"/>
      <c r="C45" s="1"/>
      <c r="D45" s="1"/>
      <c r="E45" s="1"/>
      <c r="F45" s="1"/>
      <c r="G45" s="1"/>
      <c r="H45" s="1"/>
      <c r="I45" s="1"/>
      <c r="J45" s="1"/>
      <c r="K45" s="1"/>
      <c r="L45" s="1"/>
      <c r="M45" s="1"/>
      <c r="N45" s="1"/>
    </row>
    <row r="46" customFormat="false" ht="15" hidden="false" customHeight="false" outlineLevel="0" collapsed="false">
      <c r="A46" s="1"/>
      <c r="B46" s="1"/>
      <c r="C46" s="1"/>
      <c r="D46" s="1"/>
      <c r="E46" s="1"/>
      <c r="F46" s="1"/>
      <c r="G46" s="1"/>
      <c r="H46" s="1"/>
      <c r="I46" s="1"/>
      <c r="J46" s="1"/>
      <c r="K46" s="1"/>
      <c r="L46" s="1"/>
      <c r="M46" s="1"/>
      <c r="N46" s="1"/>
    </row>
    <row r="47" customFormat="false" ht="15" hidden="false" customHeight="false" outlineLevel="0" collapsed="false">
      <c r="A47" s="1"/>
      <c r="B47" s="1"/>
      <c r="C47" s="1"/>
      <c r="D47" s="1"/>
      <c r="E47" s="1"/>
      <c r="F47" s="1"/>
      <c r="G47" s="1"/>
      <c r="H47" s="1"/>
      <c r="I47" s="1"/>
      <c r="J47" s="1"/>
      <c r="K47" s="1"/>
      <c r="L47" s="1"/>
      <c r="M47" s="1"/>
      <c r="N47" s="1"/>
    </row>
    <row r="48" customFormat="false" ht="15" hidden="false" customHeight="false" outlineLevel="0" collapsed="false">
      <c r="A48" s="1"/>
      <c r="B48" s="1"/>
      <c r="C48" s="1"/>
      <c r="D48" s="1"/>
      <c r="E48" s="1"/>
      <c r="F48" s="1"/>
      <c r="G48" s="1"/>
      <c r="H48" s="1"/>
      <c r="I48" s="1"/>
      <c r="J48" s="1"/>
      <c r="K48" s="1"/>
      <c r="L48" s="1"/>
      <c r="M48" s="1"/>
      <c r="N48" s="1"/>
    </row>
    <row r="49" customFormat="false" ht="15" hidden="false" customHeight="false" outlineLevel="0" collapsed="false">
      <c r="A49" s="1"/>
      <c r="B49" s="1"/>
      <c r="C49" s="1"/>
      <c r="D49" s="1"/>
      <c r="E49" s="1"/>
      <c r="F49" s="1"/>
      <c r="G49" s="1"/>
      <c r="H49" s="1"/>
      <c r="I49" s="1"/>
      <c r="J49" s="1"/>
      <c r="K49" s="1"/>
      <c r="L49" s="1"/>
      <c r="M49" s="1"/>
      <c r="N49" s="1"/>
    </row>
    <row r="50" customFormat="false" ht="15" hidden="false" customHeight="false" outlineLevel="0" collapsed="false">
      <c r="A50" s="1"/>
      <c r="B50" s="1"/>
      <c r="C50" s="1"/>
      <c r="D50" s="1"/>
      <c r="E50" s="1"/>
      <c r="F50" s="1"/>
      <c r="G50" s="1"/>
      <c r="H50" s="1"/>
      <c r="I50" s="1"/>
      <c r="J50" s="1"/>
      <c r="K50" s="1"/>
      <c r="L50" s="1"/>
      <c r="M50" s="1"/>
      <c r="N50" s="1"/>
    </row>
  </sheetData>
  <mergeCells count="2">
    <mergeCell ref="B2:G2"/>
    <mergeCell ref="B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C8A"/>
    <pageSetUpPr fitToPage="false"/>
  </sheetPr>
  <dimension ref="A1:R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16" min="3" style="0" width="13"/>
  </cols>
  <sheetData>
    <row r="1" customFormat="false" ht="15" hidden="false" customHeight="false" outlineLevel="0" collapsed="false">
      <c r="A1" s="1"/>
      <c r="B1" s="1"/>
      <c r="C1" s="1"/>
      <c r="D1" s="1"/>
      <c r="E1" s="1"/>
      <c r="F1" s="1"/>
      <c r="G1" s="1"/>
      <c r="H1" s="1"/>
      <c r="I1" s="1"/>
      <c r="J1" s="1"/>
      <c r="K1" s="1"/>
      <c r="L1" s="1"/>
      <c r="M1" s="1"/>
      <c r="N1" s="1"/>
      <c r="O1" s="1"/>
      <c r="P1" s="1"/>
      <c r="Q1" s="1"/>
      <c r="R1" s="1"/>
    </row>
    <row r="2" customFormat="false" ht="16.15" hidden="false" customHeight="false" outlineLevel="0" collapsed="false">
      <c r="A2" s="1"/>
      <c r="B2" s="58" t="s">
        <v>171</v>
      </c>
      <c r="C2" s="58"/>
      <c r="D2" s="58"/>
      <c r="E2" s="58"/>
      <c r="F2" s="58"/>
      <c r="G2" s="58"/>
      <c r="H2" s="58"/>
      <c r="I2" s="58"/>
      <c r="J2" s="58"/>
      <c r="K2" s="58"/>
      <c r="L2" s="58"/>
      <c r="M2" s="58"/>
      <c r="N2" s="58"/>
      <c r="O2" s="58"/>
      <c r="P2" s="58"/>
      <c r="Q2" s="1"/>
      <c r="R2" s="1"/>
    </row>
    <row r="3" customFormat="false" ht="15" hidden="false" customHeight="false" outlineLevel="0" collapsed="false">
      <c r="A3" s="1"/>
      <c r="B3" s="1"/>
      <c r="C3" s="1"/>
      <c r="D3" s="1"/>
      <c r="E3" s="1"/>
      <c r="F3" s="1"/>
      <c r="G3" s="1"/>
      <c r="H3" s="1"/>
      <c r="I3" s="1"/>
      <c r="J3" s="1"/>
      <c r="K3" s="1"/>
      <c r="L3" s="1"/>
      <c r="M3" s="1"/>
      <c r="N3" s="1"/>
      <c r="O3" s="1"/>
      <c r="P3" s="1"/>
      <c r="Q3" s="1"/>
      <c r="R3" s="1"/>
    </row>
    <row r="4" customFormat="false" ht="18" hidden="false" customHeight="true" outlineLevel="0" collapsed="false">
      <c r="A4" s="1"/>
      <c r="B4" s="29" t="s">
        <v>138</v>
      </c>
      <c r="C4" s="70" t="s">
        <v>172</v>
      </c>
      <c r="D4" s="70" t="s">
        <v>173</v>
      </c>
      <c r="E4" s="70" t="s">
        <v>174</v>
      </c>
      <c r="F4" s="70" t="s">
        <v>175</v>
      </c>
      <c r="G4" s="70" t="s">
        <v>176</v>
      </c>
      <c r="H4" s="70" t="s">
        <v>177</v>
      </c>
      <c r="I4" s="70" t="s">
        <v>178</v>
      </c>
      <c r="J4" s="70" t="s">
        <v>179</v>
      </c>
      <c r="K4" s="70" t="s">
        <v>180</v>
      </c>
      <c r="L4" s="70" t="s">
        <v>181</v>
      </c>
      <c r="M4" s="70" t="s">
        <v>182</v>
      </c>
      <c r="N4" s="70" t="s">
        <v>183</v>
      </c>
      <c r="O4" s="70" t="s">
        <v>184</v>
      </c>
      <c r="P4" s="70" t="s">
        <v>185</v>
      </c>
      <c r="Q4" s="70" t="s">
        <v>186</v>
      </c>
      <c r="R4" s="1"/>
    </row>
    <row r="5" customFormat="false" ht="15" hidden="false" customHeight="false" outlineLevel="0" collapsed="false">
      <c r="A5" s="1"/>
      <c r="B5" s="74" t="s">
        <v>187</v>
      </c>
      <c r="C5" s="74"/>
      <c r="D5" s="74"/>
      <c r="E5" s="74"/>
      <c r="F5" s="74"/>
      <c r="G5" s="74"/>
      <c r="H5" s="74"/>
      <c r="I5" s="74"/>
      <c r="J5" s="74"/>
      <c r="K5" s="74"/>
      <c r="L5" s="74"/>
      <c r="M5" s="74"/>
      <c r="N5" s="74"/>
      <c r="O5" s="74"/>
      <c r="P5" s="74"/>
      <c r="Q5" s="1"/>
      <c r="R5" s="1"/>
    </row>
    <row r="6" customFormat="false" ht="18" hidden="false" customHeight="true" outlineLevel="0" collapsed="false">
      <c r="A6" s="1"/>
      <c r="B6" s="75" t="s">
        <v>188</v>
      </c>
      <c r="C6" s="76" t="n">
        <f aca="false">Assumptions!C30*(1+Assumptions!C32)</f>
        <v>55</v>
      </c>
      <c r="D6" s="77" t="n">
        <f aca="false">C6*(1+Assumptions!C32)</f>
        <v>60.5</v>
      </c>
      <c r="E6" s="76" t="n">
        <f aca="false">D6*(1+Assumptions!C32)</f>
        <v>66.55</v>
      </c>
      <c r="F6" s="77" t="n">
        <f aca="false">E6*(1+Assumptions!C32)</f>
        <v>73.205</v>
      </c>
      <c r="G6" s="76" t="n">
        <f aca="false">F6*(1+Assumptions!C32)</f>
        <v>80.5255000000001</v>
      </c>
      <c r="H6" s="77" t="n">
        <f aca="false">G6*(1+Assumptions!C32)</f>
        <v>88.5780500000001</v>
      </c>
      <c r="I6" s="76" t="n">
        <f aca="false">H6*(1+Assumptions!C32)</f>
        <v>97.4358550000001</v>
      </c>
      <c r="J6" s="77" t="n">
        <f aca="false">I6*(1+Assumptions!C32)</f>
        <v>107.1794405</v>
      </c>
      <c r="K6" s="76" t="n">
        <f aca="false">J6*(1+Assumptions!C32)</f>
        <v>117.89738455</v>
      </c>
      <c r="L6" s="77" t="n">
        <f aca="false">K6*(1+Assumptions!C32)</f>
        <v>129.687123005</v>
      </c>
      <c r="M6" s="76" t="n">
        <f aca="false">L6*(1+Assumptions!C32)</f>
        <v>142.6558353055</v>
      </c>
      <c r="N6" s="77" t="n">
        <f aca="false">M6*(1+Assumptions!C32)</f>
        <v>156.92141883605</v>
      </c>
      <c r="O6" s="78" t="n">
        <f aca="false">N6</f>
        <v>156.92141883605</v>
      </c>
      <c r="P6" s="78" t="n">
        <f aca="false">N6*(1+Assumptions!C32)^(1*12)</f>
        <v>492.486633790382</v>
      </c>
      <c r="Q6" s="78" t="n">
        <f aca="false">N6*(1+Assumptions!C32)^(2*12)</f>
        <v>1545.63402664354</v>
      </c>
      <c r="R6" s="1"/>
    </row>
    <row r="7" customFormat="false" ht="18" hidden="false" customHeight="true" outlineLevel="0" collapsed="false">
      <c r="A7" s="1"/>
      <c r="B7" s="75" t="s">
        <v>189</v>
      </c>
      <c r="C7" s="79" t="n">
        <f aca="false">C6*Assumptions!C31/100000</f>
        <v>1.37445</v>
      </c>
      <c r="D7" s="80" t="n">
        <f aca="false">D6*Assumptions!C31/100000</f>
        <v>1.511895</v>
      </c>
      <c r="E7" s="79" t="n">
        <f aca="false">E6*Assumptions!C31/100000</f>
        <v>1.6630845</v>
      </c>
      <c r="F7" s="80" t="n">
        <f aca="false">F6*Assumptions!C31/100000</f>
        <v>1.82939295</v>
      </c>
      <c r="G7" s="79" t="n">
        <f aca="false">G6*Assumptions!C31/100000</f>
        <v>2.012332245</v>
      </c>
      <c r="H7" s="80" t="n">
        <f aca="false">H6*Assumptions!C31/100000</f>
        <v>2.2135654695</v>
      </c>
      <c r="I7" s="79" t="n">
        <f aca="false">I6*Assumptions!C31/100000</f>
        <v>2.43492201645</v>
      </c>
      <c r="J7" s="80" t="n">
        <f aca="false">J6*Assumptions!C31/100000</f>
        <v>2.678414218095</v>
      </c>
      <c r="K7" s="79" t="n">
        <f aca="false">K6*Assumptions!C31/100000</f>
        <v>2.9462556399045</v>
      </c>
      <c r="L7" s="80" t="n">
        <f aca="false">L6*Assumptions!C31/100000</f>
        <v>3.24088120389495</v>
      </c>
      <c r="M7" s="79" t="n">
        <f aca="false">M6*Assumptions!C31/100000</f>
        <v>3.56496932428445</v>
      </c>
      <c r="N7" s="80" t="n">
        <f aca="false">N6*Assumptions!C31/100000</f>
        <v>3.92146625671289</v>
      </c>
      <c r="O7" s="81" t="n">
        <f aca="false">O6*Assumptions!C31/100000</f>
        <v>3.92146625671289</v>
      </c>
      <c r="P7" s="81" t="n">
        <f aca="false">P6*Assumptions!C31/100000</f>
        <v>12.3072409784216</v>
      </c>
      <c r="Q7" s="81" t="n">
        <f aca="false">Q6*Assumptions!C31/100000</f>
        <v>38.625394325822</v>
      </c>
      <c r="R7" s="1"/>
    </row>
    <row r="8" customFormat="false" ht="18" hidden="false" customHeight="true" outlineLevel="0" collapsed="false">
      <c r="A8" s="1"/>
      <c r="B8" s="75" t="s">
        <v>190</v>
      </c>
      <c r="C8" s="79" t="n">
        <f aca="false">C7*12</f>
        <v>16.4934</v>
      </c>
      <c r="D8" s="80" t="n">
        <f aca="false">D7*12</f>
        <v>18.14274</v>
      </c>
      <c r="E8" s="79" t="n">
        <f aca="false">E7*12</f>
        <v>19.957014</v>
      </c>
      <c r="F8" s="80" t="n">
        <f aca="false">F7*12</f>
        <v>21.9527154</v>
      </c>
      <c r="G8" s="79" t="n">
        <f aca="false">G7*12</f>
        <v>24.14798694</v>
      </c>
      <c r="H8" s="80" t="n">
        <f aca="false">H7*12</f>
        <v>26.562785634</v>
      </c>
      <c r="I8" s="79" t="n">
        <f aca="false">I7*12</f>
        <v>29.2190641974</v>
      </c>
      <c r="J8" s="80" t="n">
        <f aca="false">J7*12</f>
        <v>32.14097061714</v>
      </c>
      <c r="K8" s="79" t="n">
        <f aca="false">K7*12</f>
        <v>35.355067678854</v>
      </c>
      <c r="L8" s="80" t="n">
        <f aca="false">L7*12</f>
        <v>38.8905744467394</v>
      </c>
      <c r="M8" s="79" t="n">
        <f aca="false">M7*12</f>
        <v>42.7796318914134</v>
      </c>
      <c r="N8" s="80" t="n">
        <f aca="false">N7*12</f>
        <v>47.0575950805547</v>
      </c>
      <c r="O8" s="81" t="n">
        <f aca="false">O7*12</f>
        <v>47.0575950805547</v>
      </c>
      <c r="P8" s="81" t="n">
        <f aca="false">P7*12</f>
        <v>147.68689174106</v>
      </c>
      <c r="Q8" s="81" t="n">
        <f aca="false">Q7*12</f>
        <v>463.504731909864</v>
      </c>
      <c r="R8" s="1"/>
    </row>
    <row r="9" customFormat="false" ht="18" hidden="false" customHeight="true" outlineLevel="0" collapsed="false">
      <c r="A9" s="1"/>
      <c r="B9" s="75" t="s">
        <v>191</v>
      </c>
      <c r="C9" s="82" t="n">
        <f aca="false">C8*Assumptions!C27/100</f>
        <v>2.47401</v>
      </c>
      <c r="D9" s="83" t="n">
        <f aca="false">D8*Assumptions!C27/100</f>
        <v>2.721411</v>
      </c>
      <c r="E9" s="82" t="n">
        <f aca="false">E8*Assumptions!C27/100</f>
        <v>2.9935521</v>
      </c>
      <c r="F9" s="83" t="n">
        <f aca="false">F8*Assumptions!C27/100</f>
        <v>3.29290731</v>
      </c>
      <c r="G9" s="82" t="n">
        <f aca="false">G8*Assumptions!C27/100</f>
        <v>3.622198041</v>
      </c>
      <c r="H9" s="83" t="n">
        <f aca="false">H8*Assumptions!C27/100</f>
        <v>3.9844178451</v>
      </c>
      <c r="I9" s="82" t="n">
        <f aca="false">I8*Assumptions!C27/100</f>
        <v>4.38285962961</v>
      </c>
      <c r="J9" s="83" t="n">
        <f aca="false">J8*Assumptions!C27/100</f>
        <v>4.821145592571</v>
      </c>
      <c r="K9" s="82" t="n">
        <f aca="false">K8*Assumptions!C27/100</f>
        <v>5.30326015182811</v>
      </c>
      <c r="L9" s="83" t="n">
        <f aca="false">L8*Assumptions!C27/100</f>
        <v>5.83358616701092</v>
      </c>
      <c r="M9" s="82" t="n">
        <f aca="false">M8*Assumptions!C27/100</f>
        <v>6.41694478371201</v>
      </c>
      <c r="N9" s="83" t="n">
        <f aca="false">N8*Assumptions!C27/100</f>
        <v>7.05863926208321</v>
      </c>
      <c r="O9" s="84" t="n">
        <f aca="false">O8*Assumptions!C27/100</f>
        <v>7.05863926208321</v>
      </c>
      <c r="P9" s="84" t="n">
        <f aca="false">P8*Assumptions!C27/100</f>
        <v>22.1530337611589</v>
      </c>
      <c r="Q9" s="84" t="n">
        <f aca="false">Q8*Assumptions!C27/100</f>
        <v>69.5257097864797</v>
      </c>
      <c r="R9" s="1"/>
    </row>
    <row r="10" customFormat="false" ht="15" hidden="false" customHeight="false" outlineLevel="0" collapsed="false">
      <c r="A10" s="1"/>
      <c r="B10" s="1"/>
      <c r="C10" s="1"/>
      <c r="D10" s="1"/>
      <c r="E10" s="1"/>
      <c r="F10" s="1"/>
      <c r="G10" s="1"/>
      <c r="H10" s="1"/>
      <c r="I10" s="1"/>
      <c r="J10" s="1"/>
      <c r="K10" s="1"/>
      <c r="L10" s="1"/>
      <c r="M10" s="1"/>
      <c r="N10" s="1"/>
      <c r="O10" s="1"/>
      <c r="P10" s="1"/>
      <c r="Q10" s="1"/>
      <c r="R10" s="1"/>
    </row>
    <row r="11" customFormat="false" ht="15" hidden="false" customHeight="false" outlineLevel="0" collapsed="false">
      <c r="A11" s="1"/>
      <c r="B11" s="1"/>
      <c r="C11" s="1"/>
      <c r="D11" s="1"/>
      <c r="E11" s="1"/>
      <c r="F11" s="1"/>
      <c r="G11" s="1"/>
      <c r="H11" s="1"/>
      <c r="I11" s="1"/>
      <c r="J11" s="1"/>
      <c r="K11" s="1"/>
      <c r="L11" s="1"/>
      <c r="M11" s="1"/>
      <c r="N11" s="1"/>
      <c r="O11" s="1"/>
      <c r="P11" s="1"/>
      <c r="Q11" s="1"/>
      <c r="R11" s="1"/>
    </row>
    <row r="12" customFormat="false" ht="15" hidden="false" customHeight="false" outlineLevel="0" collapsed="false">
      <c r="A12" s="1"/>
      <c r="B12" s="1"/>
      <c r="C12" s="1"/>
      <c r="D12" s="1"/>
      <c r="E12" s="1"/>
      <c r="F12" s="1"/>
      <c r="G12" s="1"/>
      <c r="H12" s="1"/>
      <c r="I12" s="1"/>
      <c r="J12" s="1"/>
      <c r="K12" s="1"/>
      <c r="L12" s="1"/>
      <c r="M12" s="1"/>
      <c r="N12" s="1"/>
      <c r="O12" s="1"/>
      <c r="P12" s="1"/>
      <c r="Q12" s="1"/>
      <c r="R12" s="1"/>
    </row>
    <row r="13" customFormat="false" ht="15" hidden="false" customHeight="false" outlineLevel="0" collapsed="false">
      <c r="A13" s="1"/>
      <c r="B13" s="1"/>
      <c r="C13" s="1"/>
      <c r="D13" s="1"/>
      <c r="E13" s="1"/>
      <c r="F13" s="1"/>
      <c r="G13" s="1"/>
      <c r="H13" s="1"/>
      <c r="I13" s="1"/>
      <c r="J13" s="1"/>
      <c r="K13" s="1"/>
      <c r="L13" s="1"/>
      <c r="M13" s="1"/>
      <c r="N13" s="1"/>
      <c r="O13" s="1"/>
      <c r="P13" s="1"/>
      <c r="Q13" s="1"/>
      <c r="R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row>
    <row r="15" customFormat="false" ht="15" hidden="false" customHeight="false" outlineLevel="0" collapsed="false">
      <c r="A15" s="1"/>
      <c r="B15" s="85" t="s">
        <v>192</v>
      </c>
      <c r="C15" s="85"/>
      <c r="D15" s="85"/>
      <c r="E15" s="85"/>
      <c r="F15" s="85"/>
      <c r="G15" s="85"/>
      <c r="H15" s="85"/>
      <c r="I15" s="85"/>
      <c r="J15" s="85"/>
      <c r="K15" s="85"/>
      <c r="L15" s="85"/>
      <c r="M15" s="85"/>
      <c r="N15" s="85"/>
      <c r="O15" s="85"/>
      <c r="P15" s="85"/>
      <c r="Q15" s="1"/>
      <c r="R15" s="1"/>
    </row>
    <row r="16" customFormat="false" ht="18" hidden="false" customHeight="true" outlineLevel="0" collapsed="false">
      <c r="A16" s="1"/>
      <c r="B16" s="75" t="s">
        <v>188</v>
      </c>
      <c r="C16" s="76" t="n">
        <f aca="false">Assumptions!C30*(1+Assumptions!C33)</f>
        <v>60</v>
      </c>
      <c r="D16" s="77" t="n">
        <f aca="false">C16*(1+Assumptions!C33)</f>
        <v>72</v>
      </c>
      <c r="E16" s="76" t="n">
        <f aca="false">D16*(1+Assumptions!C33)</f>
        <v>86.4</v>
      </c>
      <c r="F16" s="77" t="n">
        <f aca="false">E16*(1+Assumptions!C33)</f>
        <v>103.68</v>
      </c>
      <c r="G16" s="76" t="n">
        <f aca="false">F16*(1+Assumptions!C33)</f>
        <v>124.416</v>
      </c>
      <c r="H16" s="77" t="n">
        <f aca="false">G16*(1+Assumptions!C33)</f>
        <v>149.2992</v>
      </c>
      <c r="I16" s="76" t="n">
        <f aca="false">H16*(1+Assumptions!C33)</f>
        <v>179.15904</v>
      </c>
      <c r="J16" s="77" t="n">
        <f aca="false">I16*(1+Assumptions!C33)</f>
        <v>214.990848</v>
      </c>
      <c r="K16" s="76" t="n">
        <f aca="false">J16*(1+Assumptions!C33)</f>
        <v>257.9890176</v>
      </c>
      <c r="L16" s="77" t="n">
        <f aca="false">K16*(1+Assumptions!C33)</f>
        <v>309.58682112</v>
      </c>
      <c r="M16" s="76" t="n">
        <f aca="false">L16*(1+Assumptions!C33)</f>
        <v>371.504185344</v>
      </c>
      <c r="N16" s="77" t="n">
        <f aca="false">M16*(1+Assumptions!C33)</f>
        <v>445.8050224128</v>
      </c>
      <c r="O16" s="78" t="n">
        <f aca="false">N16</f>
        <v>445.8050224128</v>
      </c>
      <c r="P16" s="78" t="n">
        <f aca="false">N16*(1+Assumptions!C33)^(1*12)</f>
        <v>3974.84236016954</v>
      </c>
      <c r="Q16" s="78" t="n">
        <f aca="false">N16*(1+Assumptions!C33)^(2*12)</f>
        <v>35440.0937492546</v>
      </c>
      <c r="R16" s="1"/>
    </row>
    <row r="17" customFormat="false" ht="18" hidden="false" customHeight="true" outlineLevel="0" collapsed="false">
      <c r="A17" s="1"/>
      <c r="B17" s="75" t="s">
        <v>189</v>
      </c>
      <c r="C17" s="79" t="n">
        <f aca="false">C16*Assumptions!C31/100000</f>
        <v>1.4994</v>
      </c>
      <c r="D17" s="80" t="n">
        <f aca="false">D16*Assumptions!C31/100000</f>
        <v>1.79928</v>
      </c>
      <c r="E17" s="79" t="n">
        <f aca="false">E16*Assumptions!C31/100000</f>
        <v>2.159136</v>
      </c>
      <c r="F17" s="80" t="n">
        <f aca="false">F16*Assumptions!C31/100000</f>
        <v>2.5909632</v>
      </c>
      <c r="G17" s="79" t="n">
        <f aca="false">G16*Assumptions!C31/100000</f>
        <v>3.10915584</v>
      </c>
      <c r="H17" s="80" t="n">
        <f aca="false">H16*Assumptions!C31/100000</f>
        <v>3.730987008</v>
      </c>
      <c r="I17" s="79" t="n">
        <f aca="false">I16*Assumptions!C31/100000</f>
        <v>4.4771844096</v>
      </c>
      <c r="J17" s="80" t="n">
        <f aca="false">J16*Assumptions!C31/100000</f>
        <v>5.37262129152</v>
      </c>
      <c r="K17" s="79" t="n">
        <f aca="false">K16*Assumptions!C31/100000</f>
        <v>6.447145549824</v>
      </c>
      <c r="L17" s="80" t="n">
        <f aca="false">L16*Assumptions!C31/100000</f>
        <v>7.7365746597888</v>
      </c>
      <c r="M17" s="79" t="n">
        <f aca="false">M16*Assumptions!C31/100000</f>
        <v>9.28388959174656</v>
      </c>
      <c r="N17" s="80" t="n">
        <f aca="false">N16*Assumptions!C31/100000</f>
        <v>11.1406675100959</v>
      </c>
      <c r="O17" s="81" t="n">
        <f aca="false">O16*Assumptions!C31/100000</f>
        <v>11.1406675100959</v>
      </c>
      <c r="P17" s="81" t="n">
        <f aca="false">P16*Assumptions!C31/100000</f>
        <v>99.3313105806368</v>
      </c>
      <c r="Q17" s="81" t="n">
        <f aca="false">Q16*Assumptions!C31/100000</f>
        <v>885.647942793871</v>
      </c>
      <c r="R17" s="1"/>
    </row>
    <row r="18" customFormat="false" ht="18" hidden="false" customHeight="true" outlineLevel="0" collapsed="false">
      <c r="A18" s="1"/>
      <c r="B18" s="75" t="s">
        <v>190</v>
      </c>
      <c r="C18" s="79" t="n">
        <f aca="false">C17*12</f>
        <v>17.9928</v>
      </c>
      <c r="D18" s="80" t="n">
        <f aca="false">D17*12</f>
        <v>21.59136</v>
      </c>
      <c r="E18" s="79" t="n">
        <f aca="false">E17*12</f>
        <v>25.909632</v>
      </c>
      <c r="F18" s="80" t="n">
        <f aca="false">F17*12</f>
        <v>31.0915584</v>
      </c>
      <c r="G18" s="79" t="n">
        <f aca="false">G17*12</f>
        <v>37.30987008</v>
      </c>
      <c r="H18" s="80" t="n">
        <f aca="false">H17*12</f>
        <v>44.771844096</v>
      </c>
      <c r="I18" s="79" t="n">
        <f aca="false">I17*12</f>
        <v>53.7262129152</v>
      </c>
      <c r="J18" s="80" t="n">
        <f aca="false">J17*12</f>
        <v>64.47145549824</v>
      </c>
      <c r="K18" s="79" t="n">
        <f aca="false">K17*12</f>
        <v>77.365746597888</v>
      </c>
      <c r="L18" s="80" t="n">
        <f aca="false">L17*12</f>
        <v>92.8388959174656</v>
      </c>
      <c r="M18" s="79" t="n">
        <f aca="false">M17*12</f>
        <v>111.406675100959</v>
      </c>
      <c r="N18" s="80" t="n">
        <f aca="false">N17*12</f>
        <v>133.68801012115</v>
      </c>
      <c r="O18" s="81" t="n">
        <f aca="false">O17*12</f>
        <v>133.68801012115</v>
      </c>
      <c r="P18" s="81" t="n">
        <f aca="false">P17*12</f>
        <v>1191.97572696764</v>
      </c>
      <c r="Q18" s="81" t="n">
        <f aca="false">Q17*12</f>
        <v>10627.7753135265</v>
      </c>
      <c r="R18" s="1"/>
    </row>
    <row r="19" customFormat="false" ht="18" hidden="false" customHeight="true" outlineLevel="0" collapsed="false">
      <c r="A19" s="1"/>
      <c r="B19" s="75" t="s">
        <v>191</v>
      </c>
      <c r="C19" s="86" t="n">
        <f aca="false">C18*Assumptions!D27/100</f>
        <v>5.39784</v>
      </c>
      <c r="D19" s="87" t="n">
        <f aca="false">D18*Assumptions!D27/100</f>
        <v>6.477408</v>
      </c>
      <c r="E19" s="86" t="n">
        <f aca="false">E18*Assumptions!D27/100</f>
        <v>7.7728896</v>
      </c>
      <c r="F19" s="87" t="n">
        <f aca="false">F18*Assumptions!D27/100</f>
        <v>9.32746752</v>
      </c>
      <c r="G19" s="86" t="n">
        <f aca="false">G18*Assumptions!D27/100</f>
        <v>11.192961024</v>
      </c>
      <c r="H19" s="87" t="n">
        <f aca="false">H18*Assumptions!D27/100</f>
        <v>13.4315532288</v>
      </c>
      <c r="I19" s="86" t="n">
        <f aca="false">I18*Assumptions!D27/100</f>
        <v>16.11786387456</v>
      </c>
      <c r="J19" s="87" t="n">
        <f aca="false">J18*Assumptions!D27/100</f>
        <v>19.341436649472</v>
      </c>
      <c r="K19" s="86" t="n">
        <f aca="false">K18*Assumptions!D27/100</f>
        <v>23.2097239793664</v>
      </c>
      <c r="L19" s="87" t="n">
        <f aca="false">L18*Assumptions!D27/100</f>
        <v>27.8516687752397</v>
      </c>
      <c r="M19" s="86" t="n">
        <f aca="false">M18*Assumptions!D27/100</f>
        <v>33.4220025302876</v>
      </c>
      <c r="N19" s="87" t="n">
        <f aca="false">N18*Assumptions!D27/100</f>
        <v>40.1064030363451</v>
      </c>
      <c r="O19" s="88" t="n">
        <f aca="false">O18*Assumptions!D27/100</f>
        <v>40.1064030363451</v>
      </c>
      <c r="P19" s="88" t="n">
        <f aca="false">P18*Assumptions!D27/100</f>
        <v>357.592718090292</v>
      </c>
      <c r="Q19" s="88" t="n">
        <f aca="false">Q18*Assumptions!D27/100</f>
        <v>3188.33259405794</v>
      </c>
      <c r="R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row>
    <row r="21" customFormat="false" ht="15" hidden="false" customHeight="false" outlineLevel="0" collapsed="false">
      <c r="A21" s="1"/>
      <c r="B21" s="1"/>
      <c r="C21" s="1"/>
      <c r="D21" s="1"/>
      <c r="E21" s="1"/>
      <c r="F21" s="1"/>
      <c r="G21" s="1"/>
      <c r="H21" s="1"/>
      <c r="I21" s="1"/>
      <c r="J21" s="1"/>
      <c r="K21" s="1"/>
      <c r="L21" s="1"/>
      <c r="M21" s="1"/>
      <c r="N21" s="1"/>
      <c r="O21" s="1"/>
      <c r="P21" s="1"/>
      <c r="Q21" s="1"/>
      <c r="R21" s="1"/>
    </row>
    <row r="22" customFormat="false" ht="15" hidden="false" customHeight="false" outlineLevel="0" collapsed="false">
      <c r="A22" s="1"/>
      <c r="B22" s="1"/>
      <c r="C22" s="1"/>
      <c r="D22" s="1"/>
      <c r="E22" s="1"/>
      <c r="F22" s="1"/>
      <c r="G22" s="1"/>
      <c r="H22" s="1"/>
      <c r="I22" s="1"/>
      <c r="J22" s="1"/>
      <c r="K22" s="1"/>
      <c r="L22" s="1"/>
      <c r="M22" s="1"/>
      <c r="N22" s="1"/>
      <c r="O22" s="1"/>
      <c r="P22" s="1"/>
      <c r="Q22" s="1"/>
      <c r="R22" s="1"/>
    </row>
    <row r="23" customFormat="false" ht="15" hidden="false" customHeight="false" outlineLevel="0" collapsed="false">
      <c r="A23" s="1"/>
      <c r="B23" s="1"/>
      <c r="C23" s="1"/>
      <c r="D23" s="1"/>
      <c r="E23" s="1"/>
      <c r="F23" s="1"/>
      <c r="G23" s="1"/>
      <c r="H23" s="1"/>
      <c r="I23" s="1"/>
      <c r="J23" s="1"/>
      <c r="K23" s="1"/>
      <c r="L23" s="1"/>
      <c r="M23" s="1"/>
      <c r="N23" s="1"/>
      <c r="O23" s="1"/>
      <c r="P23" s="1"/>
      <c r="Q23" s="1"/>
      <c r="R23" s="1"/>
    </row>
    <row r="24" customFormat="false" ht="15" hidden="false" customHeight="false" outlineLevel="0" collapsed="false">
      <c r="A24" s="1"/>
      <c r="B24" s="1"/>
      <c r="C24" s="1"/>
      <c r="D24" s="1"/>
      <c r="E24" s="1"/>
      <c r="F24" s="1"/>
      <c r="G24" s="1"/>
      <c r="H24" s="1"/>
      <c r="I24" s="1"/>
      <c r="J24" s="1"/>
      <c r="K24" s="1"/>
      <c r="L24" s="1"/>
      <c r="M24" s="1"/>
      <c r="N24" s="1"/>
      <c r="O24" s="1"/>
      <c r="P24" s="1"/>
      <c r="Q24" s="1"/>
      <c r="R24" s="1"/>
    </row>
    <row r="25" customFormat="false" ht="15" hidden="false" customHeight="false" outlineLevel="0" collapsed="false">
      <c r="A25" s="1"/>
      <c r="B25" s="89" t="s">
        <v>193</v>
      </c>
      <c r="C25" s="89"/>
      <c r="D25" s="89"/>
      <c r="E25" s="89"/>
      <c r="F25" s="89"/>
      <c r="G25" s="89"/>
      <c r="H25" s="89"/>
      <c r="I25" s="89"/>
      <c r="J25" s="89"/>
      <c r="K25" s="89"/>
      <c r="L25" s="89"/>
      <c r="M25" s="89"/>
      <c r="N25" s="89"/>
      <c r="O25" s="89"/>
      <c r="P25" s="89"/>
      <c r="Q25" s="1"/>
      <c r="R25" s="1"/>
    </row>
    <row r="26" customFormat="false" ht="18" hidden="false" customHeight="true" outlineLevel="0" collapsed="false">
      <c r="A26" s="1"/>
      <c r="B26" s="75" t="s">
        <v>188</v>
      </c>
      <c r="C26" s="76" t="n">
        <f aca="false">Assumptions!C30*(1+Assumptions!C34)</f>
        <v>67.5</v>
      </c>
      <c r="D26" s="77" t="n">
        <f aca="false">C26*(1+Assumptions!C34)</f>
        <v>91.125</v>
      </c>
      <c r="E26" s="76" t="n">
        <f aca="false">D26*(1+Assumptions!C34)</f>
        <v>123.01875</v>
      </c>
      <c r="F26" s="77" t="n">
        <f aca="false">E26*(1+Assumptions!C34)</f>
        <v>166.0753125</v>
      </c>
      <c r="G26" s="76" t="n">
        <f aca="false">F26*(1+Assumptions!C34)</f>
        <v>224.201671875</v>
      </c>
      <c r="H26" s="77" t="n">
        <f aca="false">G26*(1+Assumptions!C34)</f>
        <v>302.67225703125</v>
      </c>
      <c r="I26" s="76" t="n">
        <f aca="false">H26*(1+Assumptions!C34)</f>
        <v>408.607546992188</v>
      </c>
      <c r="J26" s="77" t="n">
        <f aca="false">I26*(1+Assumptions!C34)</f>
        <v>551.620188439453</v>
      </c>
      <c r="K26" s="76" t="n">
        <f aca="false">J26*(1+Assumptions!C34)</f>
        <v>744.687254393262</v>
      </c>
      <c r="L26" s="77" t="n">
        <f aca="false">K26*(1+Assumptions!C34)</f>
        <v>1005.3277934309</v>
      </c>
      <c r="M26" s="76" t="n">
        <f aca="false">L26*(1+Assumptions!C34)</f>
        <v>1357.19252113172</v>
      </c>
      <c r="N26" s="77" t="n">
        <f aca="false">M26*(1+Assumptions!C34)</f>
        <v>1832.20990352782</v>
      </c>
      <c r="O26" s="78" t="n">
        <f aca="false">N26</f>
        <v>1832.20990352782</v>
      </c>
      <c r="P26" s="78" t="n">
        <f aca="false">N26*(1+Assumptions!C34)^(1*12)</f>
        <v>67139.8626117087</v>
      </c>
      <c r="Q26" s="78" t="n">
        <f aca="false">N26*(1+Assumptions!C34)^(2*12)</f>
        <v>2460286.4239734</v>
      </c>
      <c r="R26" s="1"/>
    </row>
    <row r="27" customFormat="false" ht="18" hidden="false" customHeight="true" outlineLevel="0" collapsed="false">
      <c r="A27" s="1"/>
      <c r="B27" s="75" t="s">
        <v>189</v>
      </c>
      <c r="C27" s="79" t="n">
        <f aca="false">C26*Assumptions!C31/100000</f>
        <v>1.686825</v>
      </c>
      <c r="D27" s="80" t="n">
        <f aca="false">D26*Assumptions!C31/100000</f>
        <v>2.27721375</v>
      </c>
      <c r="E27" s="79" t="n">
        <f aca="false">E26*Assumptions!C31/100000</f>
        <v>3.0742385625</v>
      </c>
      <c r="F27" s="80" t="n">
        <f aca="false">F26*Assumptions!C31/100000</f>
        <v>4.150222059375</v>
      </c>
      <c r="G27" s="79" t="n">
        <f aca="false">G26*Assumptions!C31/100000</f>
        <v>5.60279978015625</v>
      </c>
      <c r="H27" s="80" t="n">
        <f aca="false">H26*Assumptions!C31/100000</f>
        <v>7.56377970321094</v>
      </c>
      <c r="I27" s="79" t="n">
        <f aca="false">I26*Assumptions!C31/100000</f>
        <v>10.2111025993348</v>
      </c>
      <c r="J27" s="80" t="n">
        <f aca="false">J26*Assumptions!C31/100000</f>
        <v>13.7849885091019</v>
      </c>
      <c r="K27" s="79" t="n">
        <f aca="false">K26*Assumptions!C31/100000</f>
        <v>18.6097344872876</v>
      </c>
      <c r="L27" s="80" t="n">
        <f aca="false">L26*Assumptions!C31/100000</f>
        <v>25.1231415578383</v>
      </c>
      <c r="M27" s="79" t="n">
        <f aca="false">M26*Assumptions!C31/100000</f>
        <v>33.9162411030817</v>
      </c>
      <c r="N27" s="80" t="n">
        <f aca="false">N26*Assumptions!C31/100000</f>
        <v>45.7869254891603</v>
      </c>
      <c r="O27" s="81" t="n">
        <f aca="false">O26*Assumptions!C31/100000</f>
        <v>45.7869254891603</v>
      </c>
      <c r="P27" s="81" t="n">
        <f aca="false">P26*Assumptions!C31/100000</f>
        <v>1677.8251666666</v>
      </c>
      <c r="Q27" s="81" t="n">
        <f aca="false">Q26*Assumptions!C31/100000</f>
        <v>61482.5577350953</v>
      </c>
      <c r="R27" s="1"/>
    </row>
    <row r="28" customFormat="false" ht="18" hidden="false" customHeight="true" outlineLevel="0" collapsed="false">
      <c r="A28" s="1"/>
      <c r="B28" s="75" t="s">
        <v>190</v>
      </c>
      <c r="C28" s="79" t="n">
        <f aca="false">C27*12</f>
        <v>20.2419</v>
      </c>
      <c r="D28" s="80" t="n">
        <f aca="false">D27*12</f>
        <v>27.326565</v>
      </c>
      <c r="E28" s="79" t="n">
        <f aca="false">E27*12</f>
        <v>36.89086275</v>
      </c>
      <c r="F28" s="80" t="n">
        <f aca="false">F27*12</f>
        <v>49.8026647125</v>
      </c>
      <c r="G28" s="79" t="n">
        <f aca="false">G27*12</f>
        <v>67.233597361875</v>
      </c>
      <c r="H28" s="80" t="n">
        <f aca="false">H27*12</f>
        <v>90.7653564385313</v>
      </c>
      <c r="I28" s="79" t="n">
        <f aca="false">I27*12</f>
        <v>122.533231192017</v>
      </c>
      <c r="J28" s="80" t="n">
        <f aca="false">J27*12</f>
        <v>165.419862109223</v>
      </c>
      <c r="K28" s="79" t="n">
        <f aca="false">K27*12</f>
        <v>223.316813847451</v>
      </c>
      <c r="L28" s="80" t="n">
        <f aca="false">L27*12</f>
        <v>301.477698694059</v>
      </c>
      <c r="M28" s="79" t="n">
        <f aca="false">M27*12</f>
        <v>406.99489323698</v>
      </c>
      <c r="N28" s="80" t="n">
        <f aca="false">N27*12</f>
        <v>549.443105869923</v>
      </c>
      <c r="O28" s="81" t="n">
        <f aca="false">O27*12</f>
        <v>549.443105869923</v>
      </c>
      <c r="P28" s="81" t="n">
        <f aca="false">P27*12</f>
        <v>20133.9019999992</v>
      </c>
      <c r="Q28" s="81" t="n">
        <f aca="false">Q27*12</f>
        <v>737790.692821143</v>
      </c>
      <c r="R28" s="1"/>
    </row>
    <row r="29" customFormat="false" ht="18" hidden="false" customHeight="true" outlineLevel="0" collapsed="false">
      <c r="A29" s="1"/>
      <c r="B29" s="75" t="s">
        <v>191</v>
      </c>
      <c r="C29" s="90" t="n">
        <f aca="false">C28*Assumptions!E27/100</f>
        <v>12.14514</v>
      </c>
      <c r="D29" s="91" t="n">
        <f aca="false">D28*Assumptions!E27/100</f>
        <v>16.395939</v>
      </c>
      <c r="E29" s="90" t="n">
        <f aca="false">E28*Assumptions!E27/100</f>
        <v>22.13451765</v>
      </c>
      <c r="F29" s="91" t="n">
        <f aca="false">F28*Assumptions!E27/100</f>
        <v>29.8815988275</v>
      </c>
      <c r="G29" s="90" t="n">
        <f aca="false">G28*Assumptions!E27/100</f>
        <v>40.340158417125</v>
      </c>
      <c r="H29" s="91" t="n">
        <f aca="false">H28*Assumptions!E27/100</f>
        <v>54.4592138631188</v>
      </c>
      <c r="I29" s="90" t="n">
        <f aca="false">I28*Assumptions!E27/100</f>
        <v>73.5199387152103</v>
      </c>
      <c r="J29" s="91" t="n">
        <f aca="false">J28*Assumptions!E27/100</f>
        <v>99.251917265534</v>
      </c>
      <c r="K29" s="90" t="n">
        <f aca="false">K28*Assumptions!E27/100</f>
        <v>133.990088308471</v>
      </c>
      <c r="L29" s="91" t="n">
        <f aca="false">L28*Assumptions!E27/100</f>
        <v>180.886619216436</v>
      </c>
      <c r="M29" s="90" t="n">
        <f aca="false">M28*Assumptions!E27/100</f>
        <v>244.196935942188</v>
      </c>
      <c r="N29" s="91" t="n">
        <f aca="false">N28*Assumptions!E27/100</f>
        <v>329.665863521954</v>
      </c>
      <c r="O29" s="92" t="n">
        <f aca="false">O28*Assumptions!E27/100</f>
        <v>329.665863521954</v>
      </c>
      <c r="P29" s="92" t="n">
        <f aca="false">P28*Assumptions!E27/100</f>
        <v>12080.3411999995</v>
      </c>
      <c r="Q29" s="92" t="n">
        <f aca="false">Q28*Assumptions!E27/100</f>
        <v>442674.415692686</v>
      </c>
      <c r="R29" s="1"/>
    </row>
    <row r="30" customFormat="false" ht="15" hidden="false" customHeight="false" outlineLevel="0" collapsed="false">
      <c r="A30" s="1"/>
      <c r="B30" s="1"/>
      <c r="C30" s="1"/>
      <c r="D30" s="1"/>
      <c r="E30" s="1"/>
      <c r="F30" s="1"/>
      <c r="G30" s="1"/>
      <c r="H30" s="1"/>
      <c r="I30" s="1"/>
      <c r="J30" s="1"/>
      <c r="K30" s="1"/>
      <c r="L30" s="1"/>
      <c r="M30" s="1"/>
      <c r="N30" s="1"/>
      <c r="O30" s="1"/>
      <c r="P30" s="1"/>
      <c r="Q30" s="1"/>
      <c r="R30" s="1"/>
    </row>
    <row r="31" customFormat="false" ht="15" hidden="false" customHeight="false" outlineLevel="0" collapsed="false">
      <c r="A31" s="1"/>
      <c r="B31" s="1"/>
      <c r="C31" s="1"/>
      <c r="D31" s="1"/>
      <c r="E31" s="1"/>
      <c r="F31" s="1"/>
      <c r="G31" s="1"/>
      <c r="H31" s="1"/>
      <c r="I31" s="1"/>
      <c r="J31" s="1"/>
      <c r="K31" s="1"/>
      <c r="L31" s="1"/>
      <c r="M31" s="1"/>
      <c r="N31" s="1"/>
      <c r="O31" s="1"/>
      <c r="P31" s="1"/>
      <c r="Q31" s="1"/>
      <c r="R31" s="1"/>
    </row>
    <row r="32" customFormat="false" ht="15" hidden="false" customHeight="false" outlineLevel="0" collapsed="false">
      <c r="A32" s="1"/>
      <c r="B32" s="1"/>
      <c r="C32" s="1"/>
      <c r="D32" s="1"/>
      <c r="E32" s="1"/>
      <c r="F32" s="1"/>
      <c r="G32" s="1"/>
      <c r="H32" s="1"/>
      <c r="I32" s="1"/>
      <c r="J32" s="1"/>
      <c r="K32" s="1"/>
      <c r="L32" s="1"/>
      <c r="M32" s="1"/>
      <c r="N32" s="1"/>
      <c r="O32" s="1"/>
      <c r="P32" s="1"/>
      <c r="Q32" s="1"/>
      <c r="R32" s="1"/>
    </row>
    <row r="33" customFormat="false" ht="15" hidden="false" customHeight="false" outlineLevel="0" collapsed="false">
      <c r="A33" s="1"/>
      <c r="B33" s="1"/>
      <c r="C33" s="1"/>
      <c r="D33" s="1"/>
      <c r="E33" s="1"/>
      <c r="F33" s="1"/>
      <c r="G33" s="1"/>
      <c r="H33" s="1"/>
      <c r="I33" s="1"/>
      <c r="J33" s="1"/>
      <c r="K33" s="1"/>
      <c r="L33" s="1"/>
      <c r="M33" s="1"/>
      <c r="N33" s="1"/>
      <c r="O33" s="1"/>
      <c r="P33" s="1"/>
      <c r="Q33" s="1"/>
      <c r="R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row>
    <row r="35" customFormat="false" ht="15" hidden="false" customHeight="false" outlineLevel="0" collapsed="false">
      <c r="A35" s="1"/>
      <c r="B35" s="1"/>
      <c r="C35" s="1"/>
      <c r="D35" s="1"/>
      <c r="E35" s="1"/>
      <c r="F35" s="1"/>
      <c r="G35" s="1"/>
      <c r="H35" s="1"/>
      <c r="I35" s="1"/>
      <c r="J35" s="1"/>
      <c r="K35" s="1"/>
      <c r="L35" s="1"/>
      <c r="M35" s="1"/>
      <c r="N35" s="1"/>
      <c r="O35" s="1"/>
      <c r="P35" s="1"/>
      <c r="Q35" s="1"/>
      <c r="R35" s="1"/>
    </row>
    <row r="36" customFormat="false" ht="15" hidden="false" customHeight="false" outlineLevel="0" collapsed="false">
      <c r="A36" s="1"/>
      <c r="B36" s="1"/>
      <c r="C36" s="1"/>
      <c r="D36" s="1"/>
      <c r="E36" s="1"/>
      <c r="F36" s="1"/>
      <c r="G36" s="1"/>
      <c r="H36" s="1"/>
      <c r="I36" s="1"/>
      <c r="J36" s="1"/>
      <c r="K36" s="1"/>
      <c r="L36" s="1"/>
      <c r="M36" s="1"/>
      <c r="N36" s="1"/>
      <c r="O36" s="1"/>
      <c r="P36" s="1"/>
      <c r="Q36" s="1"/>
      <c r="R36" s="1"/>
    </row>
    <row r="37" customFormat="false" ht="15" hidden="false" customHeight="false" outlineLevel="0" collapsed="false">
      <c r="A37" s="1"/>
      <c r="B37" s="1"/>
      <c r="C37" s="1"/>
      <c r="D37" s="1"/>
      <c r="E37" s="1"/>
      <c r="F37" s="1"/>
      <c r="G37" s="1"/>
      <c r="H37" s="1"/>
      <c r="I37" s="1"/>
      <c r="J37" s="1"/>
      <c r="K37" s="1"/>
      <c r="L37" s="1"/>
      <c r="M37" s="1"/>
      <c r="N37" s="1"/>
      <c r="O37" s="1"/>
      <c r="P37" s="1"/>
      <c r="Q37" s="1"/>
      <c r="R37" s="1"/>
    </row>
    <row r="38" customFormat="false" ht="15" hidden="false" customHeight="false" outlineLevel="0" collapsed="false">
      <c r="A38" s="1"/>
      <c r="B38" s="1"/>
      <c r="C38" s="1"/>
      <c r="D38" s="1"/>
      <c r="E38" s="1"/>
      <c r="F38" s="1"/>
      <c r="G38" s="1"/>
      <c r="H38" s="1"/>
      <c r="I38" s="1"/>
      <c r="J38" s="1"/>
      <c r="K38" s="1"/>
      <c r="L38" s="1"/>
      <c r="M38" s="1"/>
      <c r="N38" s="1"/>
      <c r="O38" s="1"/>
      <c r="P38" s="1"/>
      <c r="Q38" s="1"/>
      <c r="R38" s="1"/>
    </row>
    <row r="39" customFormat="false" ht="15" hidden="false" customHeight="false" outlineLevel="0" collapsed="false">
      <c r="A39" s="1"/>
      <c r="B39" s="1"/>
      <c r="C39" s="1"/>
      <c r="D39" s="1"/>
      <c r="E39" s="1"/>
      <c r="F39" s="1"/>
      <c r="G39" s="1"/>
      <c r="H39" s="1"/>
      <c r="I39" s="1"/>
      <c r="J39" s="1"/>
      <c r="K39" s="1"/>
      <c r="L39" s="1"/>
      <c r="M39" s="1"/>
      <c r="N39" s="1"/>
      <c r="O39" s="1"/>
      <c r="P39" s="1"/>
      <c r="Q39" s="1"/>
      <c r="R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row>
    <row r="41" customFormat="false" ht="15" hidden="false" customHeight="false" outlineLevel="0" collapsed="false">
      <c r="A41" s="1"/>
      <c r="B41" s="1"/>
      <c r="C41" s="1"/>
      <c r="D41" s="1"/>
      <c r="E41" s="1"/>
      <c r="F41" s="1"/>
      <c r="G41" s="1"/>
      <c r="H41" s="1"/>
      <c r="I41" s="1"/>
      <c r="J41" s="1"/>
      <c r="K41" s="1"/>
      <c r="L41" s="1"/>
      <c r="M41" s="1"/>
      <c r="N41" s="1"/>
      <c r="O41" s="1"/>
      <c r="P41" s="1"/>
      <c r="Q41" s="1"/>
      <c r="R41" s="1"/>
    </row>
    <row r="42" customFormat="false" ht="15" hidden="false" customHeight="false" outlineLevel="0" collapsed="false">
      <c r="A42" s="1"/>
      <c r="B42" s="1"/>
      <c r="C42" s="1"/>
      <c r="D42" s="1"/>
      <c r="E42" s="1"/>
      <c r="F42" s="1"/>
      <c r="G42" s="1"/>
      <c r="H42" s="1"/>
      <c r="I42" s="1"/>
      <c r="J42" s="1"/>
      <c r="K42" s="1"/>
      <c r="L42" s="1"/>
      <c r="M42" s="1"/>
      <c r="N42" s="1"/>
      <c r="O42" s="1"/>
      <c r="P42" s="1"/>
      <c r="Q42" s="1"/>
      <c r="R42" s="1"/>
    </row>
    <row r="43" customFormat="false" ht="15" hidden="false" customHeight="false" outlineLevel="0" collapsed="false">
      <c r="A43" s="1"/>
      <c r="B43" s="1"/>
      <c r="C43" s="1"/>
      <c r="D43" s="1"/>
      <c r="E43" s="1"/>
      <c r="F43" s="1"/>
      <c r="G43" s="1"/>
      <c r="H43" s="1"/>
      <c r="I43" s="1"/>
      <c r="J43" s="1"/>
      <c r="K43" s="1"/>
      <c r="L43" s="1"/>
      <c r="M43" s="1"/>
      <c r="N43" s="1"/>
      <c r="O43" s="1"/>
      <c r="P43" s="1"/>
      <c r="Q43" s="1"/>
      <c r="R43" s="1"/>
    </row>
    <row r="44" customFormat="false" ht="15" hidden="false" customHeight="false" outlineLevel="0" collapsed="false">
      <c r="A44" s="1"/>
      <c r="B44" s="1"/>
      <c r="C44" s="1"/>
      <c r="D44" s="1"/>
      <c r="E44" s="1"/>
      <c r="F44" s="1"/>
      <c r="G44" s="1"/>
      <c r="H44" s="1"/>
      <c r="I44" s="1"/>
      <c r="J44" s="1"/>
      <c r="K44" s="1"/>
      <c r="L44" s="1"/>
      <c r="M44" s="1"/>
      <c r="N44" s="1"/>
      <c r="O44" s="1"/>
      <c r="P44" s="1"/>
      <c r="Q44" s="1"/>
      <c r="R44" s="1"/>
    </row>
    <row r="45" customFormat="false" ht="15" hidden="false" customHeight="false" outlineLevel="0" collapsed="false">
      <c r="A45" s="1"/>
      <c r="B45" s="1"/>
      <c r="C45" s="1"/>
      <c r="D45" s="1"/>
      <c r="E45" s="1"/>
      <c r="F45" s="1"/>
      <c r="G45" s="1"/>
      <c r="H45" s="1"/>
      <c r="I45" s="1"/>
      <c r="J45" s="1"/>
      <c r="K45" s="1"/>
      <c r="L45" s="1"/>
      <c r="M45" s="1"/>
      <c r="N45" s="1"/>
      <c r="O45" s="1"/>
      <c r="P45" s="1"/>
      <c r="Q45" s="1"/>
      <c r="R45" s="1"/>
    </row>
    <row r="46" customFormat="false" ht="15" hidden="false" customHeight="false" outlineLevel="0" collapsed="false">
      <c r="A46" s="1"/>
      <c r="B46" s="1"/>
      <c r="C46" s="1"/>
      <c r="D46" s="1"/>
      <c r="E46" s="1"/>
      <c r="F46" s="1"/>
      <c r="G46" s="1"/>
      <c r="H46" s="1"/>
      <c r="I46" s="1"/>
      <c r="J46" s="1"/>
      <c r="K46" s="1"/>
      <c r="L46" s="1"/>
      <c r="M46" s="1"/>
      <c r="N46" s="1"/>
      <c r="O46" s="1"/>
      <c r="P46" s="1"/>
      <c r="Q46" s="1"/>
      <c r="R46" s="1"/>
    </row>
    <row r="47" customFormat="false" ht="15" hidden="false" customHeight="false" outlineLevel="0" collapsed="false">
      <c r="A47" s="1"/>
      <c r="B47" s="1"/>
      <c r="C47" s="1"/>
      <c r="D47" s="1"/>
      <c r="E47" s="1"/>
      <c r="F47" s="1"/>
      <c r="G47" s="1"/>
      <c r="H47" s="1"/>
      <c r="I47" s="1"/>
      <c r="J47" s="1"/>
      <c r="K47" s="1"/>
      <c r="L47" s="1"/>
      <c r="M47" s="1"/>
      <c r="N47" s="1"/>
      <c r="O47" s="1"/>
      <c r="P47" s="1"/>
      <c r="Q47" s="1"/>
      <c r="R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row>
    <row r="49" customFormat="false" ht="15" hidden="false" customHeight="false" outlineLevel="0" collapsed="false">
      <c r="A49" s="1"/>
      <c r="B49" s="1"/>
      <c r="C49" s="1"/>
      <c r="D49" s="1"/>
      <c r="E49" s="1"/>
      <c r="F49" s="1"/>
      <c r="G49" s="1"/>
      <c r="H49" s="1"/>
      <c r="I49" s="1"/>
      <c r="J49" s="1"/>
      <c r="K49" s="1"/>
      <c r="L49" s="1"/>
      <c r="M49" s="1"/>
      <c r="N49" s="1"/>
      <c r="O49" s="1"/>
      <c r="P49" s="1"/>
      <c r="Q49" s="1"/>
      <c r="R49" s="1"/>
    </row>
    <row r="50" customFormat="false" ht="15" hidden="false" customHeight="false" outlineLevel="0" collapsed="false">
      <c r="A50" s="1"/>
      <c r="B50" s="1"/>
      <c r="C50" s="1"/>
      <c r="D50" s="1"/>
      <c r="E50" s="1"/>
      <c r="F50" s="1"/>
      <c r="G50" s="1"/>
      <c r="H50" s="1"/>
      <c r="I50" s="1"/>
      <c r="J50" s="1"/>
      <c r="K50" s="1"/>
      <c r="L50" s="1"/>
      <c r="M50" s="1"/>
      <c r="N50" s="1"/>
      <c r="O50" s="1"/>
      <c r="P50" s="1"/>
      <c r="Q50" s="1"/>
      <c r="R50" s="1"/>
    </row>
    <row r="51" customFormat="false" ht="15" hidden="false" customHeight="false" outlineLevel="0" collapsed="false">
      <c r="A51" s="1"/>
      <c r="B51" s="1"/>
      <c r="C51" s="1"/>
      <c r="D51" s="1"/>
      <c r="E51" s="1"/>
      <c r="F51" s="1"/>
      <c r="G51" s="1"/>
      <c r="H51" s="1"/>
      <c r="I51" s="1"/>
      <c r="J51" s="1"/>
      <c r="K51" s="1"/>
      <c r="L51" s="1"/>
      <c r="M51" s="1"/>
      <c r="N51" s="1"/>
      <c r="O51" s="1"/>
      <c r="P51" s="1"/>
      <c r="Q51" s="1"/>
      <c r="R51" s="1"/>
    </row>
    <row r="52" customFormat="false" ht="15" hidden="false" customHeight="false" outlineLevel="0" collapsed="false">
      <c r="A52" s="1"/>
      <c r="B52" s="1"/>
      <c r="C52" s="1"/>
      <c r="D52" s="1"/>
      <c r="E52" s="1"/>
      <c r="F52" s="1"/>
      <c r="G52" s="1"/>
      <c r="H52" s="1"/>
      <c r="I52" s="1"/>
      <c r="J52" s="1"/>
      <c r="K52" s="1"/>
      <c r="L52" s="1"/>
      <c r="M52" s="1"/>
      <c r="N52" s="1"/>
      <c r="O52" s="1"/>
      <c r="P52" s="1"/>
      <c r="Q52" s="1"/>
      <c r="R52" s="1"/>
    </row>
    <row r="53" customFormat="false" ht="15" hidden="false" customHeight="false" outlineLevel="0" collapsed="false">
      <c r="A53" s="1"/>
      <c r="B53" s="1"/>
      <c r="C53" s="1"/>
      <c r="D53" s="1"/>
      <c r="E53" s="1"/>
      <c r="F53" s="1"/>
      <c r="G53" s="1"/>
      <c r="H53" s="1"/>
      <c r="I53" s="1"/>
      <c r="J53" s="1"/>
      <c r="K53" s="1"/>
      <c r="L53" s="1"/>
      <c r="M53" s="1"/>
      <c r="N53" s="1"/>
      <c r="O53" s="1"/>
      <c r="P53" s="1"/>
      <c r="Q53" s="1"/>
      <c r="R53" s="1"/>
    </row>
    <row r="54" customFormat="false" ht="15" hidden="false" customHeight="false" outlineLevel="0" collapsed="false">
      <c r="A54" s="1"/>
      <c r="B54" s="1"/>
      <c r="C54" s="1"/>
      <c r="D54" s="1"/>
      <c r="E54" s="1"/>
      <c r="F54" s="1"/>
      <c r="G54" s="1"/>
      <c r="H54" s="1"/>
      <c r="I54" s="1"/>
      <c r="J54" s="1"/>
      <c r="K54" s="1"/>
      <c r="L54" s="1"/>
      <c r="M54" s="1"/>
      <c r="N54" s="1"/>
      <c r="O54" s="1"/>
      <c r="P54" s="1"/>
      <c r="Q54" s="1"/>
      <c r="R54" s="1"/>
    </row>
    <row r="55" customFormat="false" ht="15" hidden="false" customHeight="false" outlineLevel="0" collapsed="false">
      <c r="A55" s="1"/>
      <c r="B55" s="1"/>
      <c r="C55" s="1"/>
      <c r="D55" s="1"/>
      <c r="E55" s="1"/>
      <c r="F55" s="1"/>
      <c r="G55" s="1"/>
      <c r="H55" s="1"/>
      <c r="I55" s="1"/>
      <c r="J55" s="1"/>
      <c r="K55" s="1"/>
      <c r="L55" s="1"/>
      <c r="M55" s="1"/>
      <c r="N55" s="1"/>
      <c r="O55" s="1"/>
      <c r="P55" s="1"/>
      <c r="Q55" s="1"/>
      <c r="R55" s="1"/>
    </row>
    <row r="56" customFormat="false" ht="15" hidden="false" customHeight="false" outlineLevel="0" collapsed="false">
      <c r="A56" s="1"/>
      <c r="B56" s="1"/>
      <c r="C56" s="1"/>
      <c r="D56" s="1"/>
      <c r="E56" s="1"/>
      <c r="F56" s="1"/>
      <c r="G56" s="1"/>
      <c r="H56" s="1"/>
      <c r="I56" s="1"/>
      <c r="J56" s="1"/>
      <c r="K56" s="1"/>
      <c r="L56" s="1"/>
      <c r="M56" s="1"/>
      <c r="N56" s="1"/>
      <c r="O56" s="1"/>
      <c r="P56" s="1"/>
      <c r="Q56" s="1"/>
      <c r="R56" s="1"/>
    </row>
    <row r="57" customFormat="false" ht="15" hidden="false" customHeight="false" outlineLevel="0" collapsed="false">
      <c r="A57" s="1"/>
      <c r="B57" s="1"/>
      <c r="C57" s="1"/>
      <c r="D57" s="1"/>
      <c r="E57" s="1"/>
      <c r="F57" s="1"/>
      <c r="G57" s="1"/>
      <c r="H57" s="1"/>
      <c r="I57" s="1"/>
      <c r="J57" s="1"/>
      <c r="K57" s="1"/>
      <c r="L57" s="1"/>
      <c r="M57" s="1"/>
      <c r="N57" s="1"/>
      <c r="O57" s="1"/>
      <c r="P57" s="1"/>
      <c r="Q57" s="1"/>
      <c r="R57" s="1"/>
    </row>
    <row r="58" customFormat="false" ht="15" hidden="false" customHeight="false" outlineLevel="0" collapsed="false">
      <c r="A58" s="1"/>
      <c r="B58" s="1"/>
      <c r="C58" s="1"/>
      <c r="D58" s="1"/>
      <c r="E58" s="1"/>
      <c r="F58" s="1"/>
      <c r="G58" s="1"/>
      <c r="H58" s="1"/>
      <c r="I58" s="1"/>
      <c r="J58" s="1"/>
      <c r="K58" s="1"/>
      <c r="L58" s="1"/>
      <c r="M58" s="1"/>
      <c r="N58" s="1"/>
      <c r="O58" s="1"/>
      <c r="P58" s="1"/>
      <c r="Q58" s="1"/>
      <c r="R58" s="1"/>
    </row>
    <row r="59" customFormat="false" ht="15" hidden="false" customHeight="false" outlineLevel="0" collapsed="false">
      <c r="A59" s="1"/>
      <c r="B59" s="1"/>
      <c r="C59" s="1"/>
      <c r="D59" s="1"/>
      <c r="E59" s="1"/>
      <c r="F59" s="1"/>
      <c r="G59" s="1"/>
      <c r="H59" s="1"/>
      <c r="I59" s="1"/>
      <c r="J59" s="1"/>
      <c r="K59" s="1"/>
      <c r="L59" s="1"/>
      <c r="M59" s="1"/>
      <c r="N59" s="1"/>
      <c r="O59" s="1"/>
      <c r="P59" s="1"/>
      <c r="Q59" s="1"/>
      <c r="R59" s="1"/>
    </row>
    <row r="60" customFormat="false" ht="15" hidden="false" customHeight="false" outlineLevel="0" collapsed="false">
      <c r="A60" s="1"/>
      <c r="B60" s="1"/>
      <c r="C60" s="1"/>
      <c r="D60" s="1"/>
      <c r="E60" s="1"/>
      <c r="F60" s="1"/>
      <c r="G60" s="1"/>
      <c r="H60" s="1"/>
      <c r="I60" s="1"/>
      <c r="J60" s="1"/>
      <c r="K60" s="1"/>
      <c r="L60" s="1"/>
      <c r="M60" s="1"/>
      <c r="N60" s="1"/>
      <c r="O60" s="1"/>
      <c r="P60" s="1"/>
      <c r="Q60" s="1"/>
      <c r="R60" s="1"/>
    </row>
  </sheetData>
  <mergeCells count="4">
    <mergeCell ref="B2:P2"/>
    <mergeCell ref="B5:P5"/>
    <mergeCell ref="B15:P15"/>
    <mergeCell ref="B25:P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5252"/>
    <pageSetUpPr fitToPage="false"/>
  </sheetPr>
  <dimension ref="A1:N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7" min="3" style="0" width="18"/>
    <col collapsed="false" customWidth="true" hidden="false" outlineLevel="0" max="8" min="8" style="0" width="22"/>
  </cols>
  <sheetData>
    <row r="1" customFormat="false" ht="15" hidden="false" customHeight="false" outlineLevel="0" collapsed="false">
      <c r="A1" s="1"/>
      <c r="B1" s="1"/>
      <c r="C1" s="1"/>
      <c r="D1" s="1"/>
      <c r="E1" s="1"/>
      <c r="F1" s="1"/>
      <c r="G1" s="1"/>
      <c r="H1" s="1"/>
      <c r="I1" s="1"/>
      <c r="J1" s="1"/>
      <c r="K1" s="1"/>
      <c r="L1" s="1"/>
      <c r="M1" s="1"/>
      <c r="N1" s="1"/>
    </row>
    <row r="2" customFormat="false" ht="16.15" hidden="false" customHeight="false" outlineLevel="0" collapsed="false">
      <c r="A2" s="1"/>
      <c r="B2" s="58" t="s">
        <v>194</v>
      </c>
      <c r="C2" s="58"/>
      <c r="D2" s="58"/>
      <c r="E2" s="58"/>
      <c r="F2" s="58"/>
      <c r="G2" s="58"/>
      <c r="H2" s="58"/>
      <c r="I2" s="1"/>
      <c r="J2" s="1"/>
      <c r="K2" s="1"/>
      <c r="L2" s="1"/>
      <c r="M2" s="1"/>
      <c r="N2" s="1"/>
    </row>
    <row r="3" customFormat="false" ht="15" hidden="false" customHeight="false" outlineLevel="0" collapsed="false">
      <c r="A3" s="1"/>
      <c r="B3" s="1"/>
      <c r="C3" s="1"/>
      <c r="D3" s="1"/>
      <c r="E3" s="1"/>
      <c r="F3" s="1"/>
      <c r="G3" s="1"/>
      <c r="H3" s="1"/>
      <c r="I3" s="1"/>
      <c r="J3" s="1"/>
      <c r="K3" s="1"/>
      <c r="L3" s="1"/>
      <c r="M3" s="1"/>
      <c r="N3" s="1"/>
    </row>
    <row r="4" customFormat="false" ht="36" hidden="false" customHeight="true" outlineLevel="0" collapsed="false">
      <c r="A4" s="1"/>
      <c r="B4" s="93" t="s">
        <v>195</v>
      </c>
      <c r="C4" s="93" t="s">
        <v>196</v>
      </c>
      <c r="D4" s="93" t="s">
        <v>197</v>
      </c>
      <c r="E4" s="93" t="s">
        <v>198</v>
      </c>
      <c r="F4" s="93" t="s">
        <v>199</v>
      </c>
      <c r="G4" s="93" t="s">
        <v>200</v>
      </c>
      <c r="H4" s="93" t="s">
        <v>201</v>
      </c>
      <c r="I4" s="1"/>
      <c r="J4" s="1"/>
      <c r="K4" s="1"/>
      <c r="L4" s="1"/>
      <c r="M4" s="1"/>
      <c r="N4" s="1"/>
    </row>
    <row r="5" customFormat="false" ht="19.5" hidden="false" customHeight="true" outlineLevel="0" collapsed="false">
      <c r="A5" s="1"/>
      <c r="B5" s="94" t="n">
        <v>1</v>
      </c>
      <c r="C5" s="95" t="n">
        <f aca="false">B5/(Assumptions!C7*100)</f>
        <v>0.00285714285714286</v>
      </c>
      <c r="D5" s="95" t="n">
        <f aca="false">C5*(1-0.03)</f>
        <v>0.00277142857142857</v>
      </c>
      <c r="E5" s="95" t="n">
        <f aca="false">D5*(1-Assumptions!C17)</f>
        <v>0.002134</v>
      </c>
      <c r="F5" s="96" t="n">
        <f aca="false">E5*(1-Assumptions!C20)</f>
        <v>0.0017072</v>
      </c>
      <c r="G5" s="97" t="n">
        <f aca="false">1-(F5/C5)</f>
        <v>0.40248</v>
      </c>
      <c r="H5" s="98" t="n">
        <f aca="false">F5</f>
        <v>0.0017072</v>
      </c>
      <c r="I5" s="1"/>
      <c r="J5" s="1"/>
      <c r="K5" s="1"/>
      <c r="L5" s="1"/>
      <c r="M5" s="1"/>
      <c r="N5" s="1"/>
    </row>
    <row r="6" customFormat="false" ht="19.5" hidden="false" customHeight="true" outlineLevel="0" collapsed="false">
      <c r="A6" s="1"/>
      <c r="B6" s="99" t="n">
        <v>2</v>
      </c>
      <c r="C6" s="100" t="n">
        <f aca="false">B6/(Assumptions!C7*100)</f>
        <v>0.00571428571428571</v>
      </c>
      <c r="D6" s="100" t="n">
        <f aca="false">C6*(1-0.03)</f>
        <v>0.00554285714285714</v>
      </c>
      <c r="E6" s="100" t="n">
        <f aca="false">D6*(1-Assumptions!C17)</f>
        <v>0.004268</v>
      </c>
      <c r="F6" s="101" t="n">
        <f aca="false">E6*(1-Assumptions!C20)</f>
        <v>0.0034144</v>
      </c>
      <c r="G6" s="102" t="n">
        <f aca="false">1-(F6/C6)</f>
        <v>0.40248</v>
      </c>
      <c r="H6" s="103" t="n">
        <f aca="false">F6</f>
        <v>0.0034144</v>
      </c>
      <c r="I6" s="1"/>
      <c r="J6" s="1"/>
      <c r="K6" s="1"/>
      <c r="L6" s="1"/>
      <c r="M6" s="1"/>
      <c r="N6" s="1"/>
    </row>
    <row r="7" customFormat="false" ht="19.5" hidden="false" customHeight="true" outlineLevel="0" collapsed="false">
      <c r="A7" s="1"/>
      <c r="B7" s="94" t="n">
        <v>5</v>
      </c>
      <c r="C7" s="95" t="n">
        <f aca="false">B7/(Assumptions!C7*100)</f>
        <v>0.0142857142857143</v>
      </c>
      <c r="D7" s="95" t="n">
        <f aca="false">C7*(1-0.03)</f>
        <v>0.0138571428571429</v>
      </c>
      <c r="E7" s="95" t="n">
        <f aca="false">D7*(1-Assumptions!C17)</f>
        <v>0.01067</v>
      </c>
      <c r="F7" s="96" t="n">
        <f aca="false">E7*(1-Assumptions!C20)</f>
        <v>0.008536</v>
      </c>
      <c r="G7" s="97" t="n">
        <f aca="false">1-(F7/C7)</f>
        <v>0.40248</v>
      </c>
      <c r="H7" s="98" t="n">
        <f aca="false">F7</f>
        <v>0.008536</v>
      </c>
      <c r="I7" s="1"/>
      <c r="J7" s="1"/>
      <c r="K7" s="1"/>
      <c r="L7" s="1"/>
      <c r="M7" s="1"/>
      <c r="N7" s="1"/>
    </row>
    <row r="8" customFormat="false" ht="19.5" hidden="false" customHeight="true" outlineLevel="0" collapsed="false">
      <c r="A8" s="1"/>
      <c r="B8" s="99" t="n">
        <v>10</v>
      </c>
      <c r="C8" s="100" t="n">
        <f aca="false">B8/(Assumptions!C7*100)</f>
        <v>0.0285714285714286</v>
      </c>
      <c r="D8" s="100" t="n">
        <f aca="false">C8*(1-0.03)</f>
        <v>0.0277142857142857</v>
      </c>
      <c r="E8" s="100" t="n">
        <f aca="false">D8*(1-Assumptions!C17)</f>
        <v>0.02134</v>
      </c>
      <c r="F8" s="101" t="n">
        <f aca="false">E8*(1-Assumptions!C20)</f>
        <v>0.017072</v>
      </c>
      <c r="G8" s="102" t="n">
        <f aca="false">1-(F8/C8)</f>
        <v>0.40248</v>
      </c>
      <c r="H8" s="103" t="n">
        <f aca="false">F8</f>
        <v>0.017072</v>
      </c>
      <c r="I8" s="1"/>
      <c r="J8" s="1"/>
      <c r="K8" s="1"/>
      <c r="L8" s="1"/>
      <c r="M8" s="1"/>
      <c r="N8" s="1"/>
    </row>
    <row r="9" customFormat="false" ht="19.5" hidden="false" customHeight="true" outlineLevel="0" collapsed="false">
      <c r="A9" s="1"/>
      <c r="B9" s="94" t="n">
        <v>25</v>
      </c>
      <c r="C9" s="95" t="n">
        <f aca="false">B9/(Assumptions!C7*100)</f>
        <v>0.0714285714285714</v>
      </c>
      <c r="D9" s="95" t="n">
        <f aca="false">C9*(1-0.03)</f>
        <v>0.0692857142857143</v>
      </c>
      <c r="E9" s="95" t="n">
        <f aca="false">D9*(1-Assumptions!C17)</f>
        <v>0.05335</v>
      </c>
      <c r="F9" s="96" t="n">
        <f aca="false">E9*(1-Assumptions!C20)</f>
        <v>0.04268</v>
      </c>
      <c r="G9" s="97" t="n">
        <f aca="false">1-(F9/C9)</f>
        <v>0.40248</v>
      </c>
      <c r="H9" s="98" t="n">
        <f aca="false">F9</f>
        <v>0.04268</v>
      </c>
      <c r="I9" s="1"/>
      <c r="J9" s="1"/>
      <c r="K9" s="1"/>
      <c r="L9" s="1"/>
      <c r="M9" s="1"/>
      <c r="N9" s="1"/>
    </row>
    <row r="10" customFormat="false" ht="19.5" hidden="false" customHeight="true" outlineLevel="0" collapsed="false">
      <c r="A10" s="1"/>
      <c r="B10" s="99" t="n">
        <v>35</v>
      </c>
      <c r="C10" s="100" t="n">
        <f aca="false">B10/(Assumptions!C7*100)</f>
        <v>0.1</v>
      </c>
      <c r="D10" s="100" t="n">
        <f aca="false">C10*(1-0.03)</f>
        <v>0.097</v>
      </c>
      <c r="E10" s="100" t="n">
        <f aca="false">D10*(1-Assumptions!C17)</f>
        <v>0.07469</v>
      </c>
      <c r="F10" s="101" t="n">
        <f aca="false">E10*(1-Assumptions!C20)</f>
        <v>0.059752</v>
      </c>
      <c r="G10" s="102" t="n">
        <f aca="false">1-(F10/C10)</f>
        <v>0.40248</v>
      </c>
      <c r="H10" s="103" t="n">
        <f aca="false">F10</f>
        <v>0.059752</v>
      </c>
      <c r="I10" s="1"/>
      <c r="J10" s="1"/>
      <c r="K10" s="1"/>
      <c r="L10" s="1"/>
      <c r="M10" s="1"/>
      <c r="N10" s="1"/>
    </row>
    <row r="11" customFormat="false" ht="15" hidden="false" customHeight="false" outlineLevel="0" collapsed="false">
      <c r="A11" s="1"/>
      <c r="B11" s="1"/>
      <c r="C11" s="1"/>
      <c r="D11" s="1"/>
      <c r="E11" s="1"/>
      <c r="F11" s="1"/>
      <c r="G11" s="1"/>
      <c r="H11" s="1"/>
      <c r="I11" s="1"/>
      <c r="J11" s="1"/>
      <c r="K11" s="1"/>
      <c r="L11" s="1"/>
      <c r="M11" s="1"/>
      <c r="N11" s="1"/>
    </row>
    <row r="12" customFormat="false" ht="36" hidden="false" customHeight="true" outlineLevel="0" collapsed="false">
      <c r="A12" s="1"/>
      <c r="B12" s="57" t="s">
        <v>202</v>
      </c>
      <c r="C12" s="57"/>
      <c r="D12" s="57"/>
      <c r="E12" s="57"/>
      <c r="F12" s="57"/>
      <c r="G12" s="57"/>
      <c r="H12" s="57"/>
      <c r="I12" s="1"/>
      <c r="J12" s="1"/>
      <c r="K12" s="1"/>
      <c r="L12" s="1"/>
      <c r="M12" s="1"/>
      <c r="N12" s="1"/>
    </row>
    <row r="13" customFormat="false" ht="15" hidden="false" customHeight="false" outlineLevel="0" collapsed="false">
      <c r="A13" s="1"/>
      <c r="B13" s="1"/>
      <c r="C13" s="1"/>
      <c r="D13" s="1"/>
      <c r="E13" s="1"/>
      <c r="F13" s="1"/>
      <c r="G13" s="1"/>
      <c r="H13" s="1"/>
      <c r="I13" s="1"/>
      <c r="J13" s="1"/>
      <c r="K13" s="1"/>
      <c r="L13" s="1"/>
      <c r="M13" s="1"/>
      <c r="N13" s="1"/>
    </row>
    <row r="14" customFormat="false" ht="15" hidden="false" customHeight="false" outlineLevel="0" collapsed="false">
      <c r="A14" s="1"/>
      <c r="B14" s="1"/>
      <c r="C14" s="1"/>
      <c r="D14" s="1"/>
      <c r="E14" s="1"/>
      <c r="F14" s="1"/>
      <c r="G14" s="1"/>
      <c r="H14" s="1"/>
      <c r="I14" s="1"/>
      <c r="J14" s="1"/>
      <c r="K14" s="1"/>
      <c r="L14" s="1"/>
      <c r="M14" s="1"/>
      <c r="N14" s="1"/>
    </row>
    <row r="15" customFormat="false" ht="15" hidden="false" customHeight="false" outlineLevel="0" collapsed="false">
      <c r="A15" s="1"/>
      <c r="B15" s="1"/>
      <c r="C15" s="1"/>
      <c r="D15" s="1"/>
      <c r="E15" s="1"/>
      <c r="F15" s="1"/>
      <c r="G15" s="1"/>
      <c r="H15" s="1"/>
      <c r="I15" s="1"/>
      <c r="J15" s="1"/>
      <c r="K15" s="1"/>
      <c r="L15" s="1"/>
      <c r="M15" s="1"/>
      <c r="N15" s="1"/>
    </row>
    <row r="16" customFormat="false" ht="15" hidden="false" customHeight="false" outlineLevel="0" collapsed="false">
      <c r="A16" s="1"/>
      <c r="B16" s="1"/>
      <c r="C16" s="1"/>
      <c r="D16" s="1"/>
      <c r="E16" s="1"/>
      <c r="F16" s="1"/>
      <c r="G16" s="1"/>
      <c r="H16" s="1"/>
      <c r="I16" s="1"/>
      <c r="J16" s="1"/>
      <c r="K16" s="1"/>
      <c r="L16" s="1"/>
      <c r="M16" s="1"/>
      <c r="N16" s="1"/>
    </row>
    <row r="17" customFormat="false" ht="15" hidden="false" customHeight="false" outlineLevel="0" collapsed="false">
      <c r="A17" s="1"/>
      <c r="B17" s="1"/>
      <c r="C17" s="1"/>
      <c r="D17" s="1"/>
      <c r="E17" s="1"/>
      <c r="F17" s="1"/>
      <c r="G17" s="1"/>
      <c r="H17" s="1"/>
      <c r="I17" s="1"/>
      <c r="J17" s="1"/>
      <c r="K17" s="1"/>
      <c r="L17" s="1"/>
      <c r="M17" s="1"/>
      <c r="N17" s="1"/>
    </row>
    <row r="18" customFormat="false" ht="15" hidden="false" customHeight="false" outlineLevel="0" collapsed="false">
      <c r="A18" s="1"/>
      <c r="B18" s="1"/>
      <c r="C18" s="1"/>
      <c r="D18" s="1"/>
      <c r="E18" s="1"/>
      <c r="F18" s="1"/>
      <c r="G18" s="1"/>
      <c r="H18" s="1"/>
      <c r="I18" s="1"/>
      <c r="J18" s="1"/>
      <c r="K18" s="1"/>
      <c r="L18" s="1"/>
      <c r="M18" s="1"/>
      <c r="N18" s="1"/>
    </row>
    <row r="19" customFormat="false" ht="15" hidden="false" customHeight="false" outlineLevel="0" collapsed="false">
      <c r="A19" s="1"/>
      <c r="B19" s="1"/>
      <c r="C19" s="1"/>
      <c r="D19" s="1"/>
      <c r="E19" s="1"/>
      <c r="F19" s="1"/>
      <c r="G19" s="1"/>
      <c r="H19" s="1"/>
      <c r="I19" s="1"/>
      <c r="J19" s="1"/>
      <c r="K19" s="1"/>
      <c r="L19" s="1"/>
      <c r="M19" s="1"/>
      <c r="N19" s="1"/>
    </row>
    <row r="20" customFormat="false" ht="15" hidden="false" customHeight="false" outlineLevel="0" collapsed="false">
      <c r="A20" s="1"/>
      <c r="B20" s="1"/>
      <c r="C20" s="1"/>
      <c r="D20" s="1"/>
      <c r="E20" s="1"/>
      <c r="F20" s="1"/>
      <c r="G20" s="1"/>
      <c r="H20" s="1"/>
      <c r="I20" s="1"/>
      <c r="J20" s="1"/>
      <c r="K20" s="1"/>
      <c r="L20" s="1"/>
      <c r="M20" s="1"/>
      <c r="N20" s="1"/>
    </row>
    <row r="21" customFormat="false" ht="15" hidden="false" customHeight="false" outlineLevel="0" collapsed="false">
      <c r="A21" s="1"/>
      <c r="B21" s="1"/>
      <c r="C21" s="1"/>
      <c r="D21" s="1"/>
      <c r="E21" s="1"/>
      <c r="F21" s="1"/>
      <c r="G21" s="1"/>
      <c r="H21" s="1"/>
      <c r="I21" s="1"/>
      <c r="J21" s="1"/>
      <c r="K21" s="1"/>
      <c r="L21" s="1"/>
      <c r="M21" s="1"/>
      <c r="N21" s="1"/>
    </row>
    <row r="22" customFormat="false" ht="15" hidden="false" customHeight="false" outlineLevel="0" collapsed="false">
      <c r="A22" s="1"/>
      <c r="B22" s="1"/>
      <c r="C22" s="1"/>
      <c r="D22" s="1"/>
      <c r="E22" s="1"/>
      <c r="F22" s="1"/>
      <c r="G22" s="1"/>
      <c r="H22" s="1"/>
      <c r="I22" s="1"/>
      <c r="J22" s="1"/>
      <c r="K22" s="1"/>
      <c r="L22" s="1"/>
      <c r="M22" s="1"/>
      <c r="N22" s="1"/>
    </row>
    <row r="23" customFormat="false" ht="15" hidden="false" customHeight="false" outlineLevel="0" collapsed="false">
      <c r="A23" s="1"/>
      <c r="B23" s="1"/>
      <c r="C23" s="1"/>
      <c r="D23" s="1"/>
      <c r="E23" s="1"/>
      <c r="F23" s="1"/>
      <c r="G23" s="1"/>
      <c r="H23" s="1"/>
      <c r="I23" s="1"/>
      <c r="J23" s="1"/>
      <c r="K23" s="1"/>
      <c r="L23" s="1"/>
      <c r="M23" s="1"/>
      <c r="N23" s="1"/>
    </row>
    <row r="24" customFormat="false" ht="15" hidden="false" customHeight="false" outlineLevel="0" collapsed="false">
      <c r="A24" s="1"/>
      <c r="B24" s="1"/>
      <c r="C24" s="1"/>
      <c r="D24" s="1"/>
      <c r="E24" s="1"/>
      <c r="F24" s="1"/>
      <c r="G24" s="1"/>
      <c r="H24" s="1"/>
      <c r="I24" s="1"/>
      <c r="J24" s="1"/>
      <c r="K24" s="1"/>
      <c r="L24" s="1"/>
      <c r="M24" s="1"/>
      <c r="N24" s="1"/>
    </row>
    <row r="25" customFormat="false" ht="15" hidden="false" customHeight="false" outlineLevel="0" collapsed="false">
      <c r="A25" s="1"/>
      <c r="B25" s="1"/>
      <c r="C25" s="1"/>
      <c r="D25" s="1"/>
      <c r="E25" s="1"/>
      <c r="F25" s="1"/>
      <c r="G25" s="1"/>
      <c r="H25" s="1"/>
      <c r="I25" s="1"/>
      <c r="J25" s="1"/>
      <c r="K25" s="1"/>
      <c r="L25" s="1"/>
      <c r="M25" s="1"/>
      <c r="N25" s="1"/>
    </row>
    <row r="26" customFormat="false" ht="15" hidden="false" customHeight="false" outlineLevel="0" collapsed="false">
      <c r="A26" s="1"/>
      <c r="B26" s="1"/>
      <c r="C26" s="1"/>
      <c r="D26" s="1"/>
      <c r="E26" s="1"/>
      <c r="F26" s="1"/>
      <c r="G26" s="1"/>
      <c r="H26" s="1"/>
      <c r="I26" s="1"/>
      <c r="J26" s="1"/>
      <c r="K26" s="1"/>
      <c r="L26" s="1"/>
      <c r="M26" s="1"/>
      <c r="N26" s="1"/>
    </row>
    <row r="27" customFormat="false" ht="15" hidden="false" customHeight="false" outlineLevel="0" collapsed="false">
      <c r="A27" s="1"/>
      <c r="B27" s="1"/>
      <c r="C27" s="1"/>
      <c r="D27" s="1"/>
      <c r="E27" s="1"/>
      <c r="F27" s="1"/>
      <c r="G27" s="1"/>
      <c r="H27" s="1"/>
      <c r="I27" s="1"/>
      <c r="J27" s="1"/>
      <c r="K27" s="1"/>
      <c r="L27" s="1"/>
      <c r="M27" s="1"/>
      <c r="N27" s="1"/>
    </row>
    <row r="28" customFormat="false" ht="15" hidden="false" customHeight="false" outlineLevel="0" collapsed="false">
      <c r="A28" s="1"/>
      <c r="B28" s="1"/>
      <c r="C28" s="1"/>
      <c r="D28" s="1"/>
      <c r="E28" s="1"/>
      <c r="F28" s="1"/>
      <c r="G28" s="1"/>
      <c r="H28" s="1"/>
      <c r="I28" s="1"/>
      <c r="J28" s="1"/>
      <c r="K28" s="1"/>
      <c r="L28" s="1"/>
      <c r="M28" s="1"/>
      <c r="N28" s="1"/>
    </row>
    <row r="29" customFormat="false" ht="15" hidden="false" customHeight="false" outlineLevel="0" collapsed="false">
      <c r="A29" s="1"/>
      <c r="B29" s="1"/>
      <c r="C29" s="1"/>
      <c r="D29" s="1"/>
      <c r="E29" s="1"/>
      <c r="F29" s="1"/>
      <c r="G29" s="1"/>
      <c r="H29" s="1"/>
      <c r="I29" s="1"/>
      <c r="J29" s="1"/>
      <c r="K29" s="1"/>
      <c r="L29" s="1"/>
      <c r="M29" s="1"/>
      <c r="N29" s="1"/>
    </row>
    <row r="30" customFormat="false" ht="15" hidden="false" customHeight="false" outlineLevel="0" collapsed="false">
      <c r="A30" s="1"/>
      <c r="B30" s="1"/>
      <c r="C30" s="1"/>
      <c r="D30" s="1"/>
      <c r="E30" s="1"/>
      <c r="F30" s="1"/>
      <c r="G30" s="1"/>
      <c r="H30" s="1"/>
      <c r="I30" s="1"/>
      <c r="J30" s="1"/>
      <c r="K30" s="1"/>
      <c r="L30" s="1"/>
      <c r="M30" s="1"/>
      <c r="N30" s="1"/>
    </row>
    <row r="31" customFormat="false" ht="15" hidden="false" customHeight="false" outlineLevel="0" collapsed="false">
      <c r="A31" s="1"/>
      <c r="B31" s="1"/>
      <c r="C31" s="1"/>
      <c r="D31" s="1"/>
      <c r="E31" s="1"/>
      <c r="F31" s="1"/>
      <c r="G31" s="1"/>
      <c r="H31" s="1"/>
      <c r="I31" s="1"/>
      <c r="J31" s="1"/>
      <c r="K31" s="1"/>
      <c r="L31" s="1"/>
      <c r="M31" s="1"/>
      <c r="N31" s="1"/>
    </row>
    <row r="32" customFormat="false" ht="15" hidden="false" customHeight="false" outlineLevel="0" collapsed="false">
      <c r="A32" s="1"/>
      <c r="B32" s="1"/>
      <c r="C32" s="1"/>
      <c r="D32" s="1"/>
      <c r="E32" s="1"/>
      <c r="F32" s="1"/>
      <c r="G32" s="1"/>
      <c r="H32" s="1"/>
      <c r="I32" s="1"/>
      <c r="J32" s="1"/>
      <c r="K32" s="1"/>
      <c r="L32" s="1"/>
      <c r="M32" s="1"/>
      <c r="N32" s="1"/>
    </row>
    <row r="33" customFormat="false" ht="15" hidden="false" customHeight="false" outlineLevel="0" collapsed="false">
      <c r="A33" s="1"/>
      <c r="B33" s="1"/>
      <c r="C33" s="1"/>
      <c r="D33" s="1"/>
      <c r="E33" s="1"/>
      <c r="F33" s="1"/>
      <c r="G33" s="1"/>
      <c r="H33" s="1"/>
      <c r="I33" s="1"/>
      <c r="J33" s="1"/>
      <c r="K33" s="1"/>
      <c r="L33" s="1"/>
      <c r="M33" s="1"/>
      <c r="N33" s="1"/>
    </row>
    <row r="34" customFormat="false" ht="15" hidden="false" customHeight="false" outlineLevel="0" collapsed="false">
      <c r="A34" s="1"/>
      <c r="B34" s="1"/>
      <c r="C34" s="1"/>
      <c r="D34" s="1"/>
      <c r="E34" s="1"/>
      <c r="F34" s="1"/>
      <c r="G34" s="1"/>
      <c r="H34" s="1"/>
      <c r="I34" s="1"/>
      <c r="J34" s="1"/>
      <c r="K34" s="1"/>
      <c r="L34" s="1"/>
      <c r="M34" s="1"/>
      <c r="N34" s="1"/>
    </row>
    <row r="35" customFormat="false" ht="15" hidden="false" customHeight="false" outlineLevel="0" collapsed="false">
      <c r="A35" s="1"/>
      <c r="B35" s="1"/>
      <c r="C35" s="1"/>
      <c r="D35" s="1"/>
      <c r="E35" s="1"/>
      <c r="F35" s="1"/>
      <c r="G35" s="1"/>
      <c r="H35" s="1"/>
      <c r="I35" s="1"/>
      <c r="J35" s="1"/>
      <c r="K35" s="1"/>
      <c r="L35" s="1"/>
      <c r="M35" s="1"/>
      <c r="N35" s="1"/>
    </row>
    <row r="36" customFormat="false" ht="15" hidden="false" customHeight="false" outlineLevel="0" collapsed="false">
      <c r="A36" s="1"/>
      <c r="B36" s="1"/>
      <c r="C36" s="1"/>
      <c r="D36" s="1"/>
      <c r="E36" s="1"/>
      <c r="F36" s="1"/>
      <c r="G36" s="1"/>
      <c r="H36" s="1"/>
      <c r="I36" s="1"/>
      <c r="J36" s="1"/>
      <c r="K36" s="1"/>
      <c r="L36" s="1"/>
      <c r="M36" s="1"/>
      <c r="N36" s="1"/>
    </row>
    <row r="37" customFormat="false" ht="15" hidden="false" customHeight="false" outlineLevel="0" collapsed="false">
      <c r="A37" s="1"/>
      <c r="B37" s="1"/>
      <c r="C37" s="1"/>
      <c r="D37" s="1"/>
      <c r="E37" s="1"/>
      <c r="F37" s="1"/>
      <c r="G37" s="1"/>
      <c r="H37" s="1"/>
      <c r="I37" s="1"/>
      <c r="J37" s="1"/>
      <c r="K37" s="1"/>
      <c r="L37" s="1"/>
      <c r="M37" s="1"/>
      <c r="N37" s="1"/>
    </row>
    <row r="38" customFormat="false" ht="15" hidden="false" customHeight="false" outlineLevel="0" collapsed="false">
      <c r="A38" s="1"/>
      <c r="B38" s="1"/>
      <c r="C38" s="1"/>
      <c r="D38" s="1"/>
      <c r="E38" s="1"/>
      <c r="F38" s="1"/>
      <c r="G38" s="1"/>
      <c r="H38" s="1"/>
      <c r="I38" s="1"/>
      <c r="J38" s="1"/>
      <c r="K38" s="1"/>
      <c r="L38" s="1"/>
      <c r="M38" s="1"/>
      <c r="N38" s="1"/>
    </row>
    <row r="39" customFormat="false" ht="15" hidden="false" customHeight="false" outlineLevel="0" collapsed="false">
      <c r="A39" s="1"/>
      <c r="B39" s="1"/>
      <c r="C39" s="1"/>
      <c r="D39" s="1"/>
      <c r="E39" s="1"/>
      <c r="F39" s="1"/>
      <c r="G39" s="1"/>
      <c r="H39" s="1"/>
      <c r="I39" s="1"/>
      <c r="J39" s="1"/>
      <c r="K39" s="1"/>
      <c r="L39" s="1"/>
      <c r="M39" s="1"/>
      <c r="N39" s="1"/>
    </row>
    <row r="40" customFormat="false" ht="15" hidden="false" customHeight="false" outlineLevel="0" collapsed="false">
      <c r="A40" s="1"/>
      <c r="B40" s="1"/>
      <c r="C40" s="1"/>
      <c r="D40" s="1"/>
      <c r="E40" s="1"/>
      <c r="F40" s="1"/>
      <c r="G40" s="1"/>
      <c r="H40" s="1"/>
      <c r="I40" s="1"/>
      <c r="J40" s="1"/>
      <c r="K40" s="1"/>
      <c r="L40" s="1"/>
      <c r="M40" s="1"/>
      <c r="N40" s="1"/>
    </row>
  </sheetData>
  <mergeCells count="2">
    <mergeCell ref="B2:H2"/>
    <mergeCell ref="B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2026-04-12T15:34:58Z</dcterms:created>
  <dc:creator>openpyxl</dc:creator>
  <dc:description/>
  <dc:language>en-US</dc:language>
  <cp:lastModifiedBy/>
  <dcterms:modified xsi:type="dcterms:W3CDTF">2026-04-12T15:34:58Z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